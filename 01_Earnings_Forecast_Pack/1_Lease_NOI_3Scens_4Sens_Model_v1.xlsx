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E:\followups\0.思维导图\4.Fin\2.GitHub\01_Earnings_Forecast_Pack\"/>
    </mc:Choice>
  </mc:AlternateContent>
  <xr:revisionPtr revIDLastSave="0" documentId="13_ncr:1_{C1166235-F5A1-4C1F-B9F7-0B6E4B8B3E80}" xr6:coauthVersionLast="47" xr6:coauthVersionMax="47" xr10:uidLastSave="{00000000-0000-0000-0000-000000000000}"/>
  <bookViews>
    <workbookView xWindow="-98" yWindow="-98" windowWidth="19396" windowHeight="11475" tabRatio="715" activeTab="2" xr2:uid="{00000000-000D-0000-FFFF-FFFF00000000}"/>
  </bookViews>
  <sheets>
    <sheet name="Inputs" sheetId="9" r:id="rId1"/>
    <sheet name="CF_Scenarios" sheetId="37" r:id="rId2"/>
    <sheet name="Summary" sheetId="3" r:id="rId3"/>
    <sheet name="Timeline" sheetId="2" state="hidden" r:id="rId4"/>
    <sheet name="Sens_RG" sheetId="19" r:id="rId5"/>
    <sheet name="Sens_DT" sheetId="33" r:id="rId6"/>
    <sheet name="Sens_EG" sheetId="34" r:id="rId7"/>
    <sheet name="Sens_RR" sheetId="35" r:id="rId8"/>
    <sheet name="Mapping" sheetId="4" state="hidden" r:id="rId9"/>
    <sheet name="Clauses Checklist" sheetId="27" state="hidden" r:id="rId10"/>
  </sheets>
  <definedNames>
    <definedName name="_xlcn.WorksheetConnection_1_NOI_AFFO_3Scenario_Model_v1_formula.xlsxCF_Scenario1" hidden="1">CF_Scenario</definedName>
  </definedNames>
  <calcPr calcId="191029"/>
  <pivotCaches>
    <pivotCache cacheId="19" r:id="rId11"/>
  </pivotCaches>
  <extLst>
    <ext xmlns:x15="http://schemas.microsoft.com/office/spreadsheetml/2010/11/main" uri="{FCE2AD5D-F65C-4FA6-A056-5C36A1767C68}">
      <x15:dataModel>
        <x15:modelTables>
          <x15:modelTable id="CF_Downside_747c5916-3c27-4a3c-858b-4a0e00b3bca9" name="CF_Downside" connection="查询 - CF_Downside"/>
          <x15:modelTable id="CF_Scenario" name="CF_Scenario" connection="WorksheetConnection_1_NOI_AFFO_3Scenario_Model_v1_formula.xlsx!CF_Scenario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9" l="1"/>
  <c r="X20" i="3"/>
  <c r="X19" i="3"/>
  <c r="X18" i="3"/>
  <c r="U20" i="3"/>
  <c r="U19" i="3"/>
  <c r="U18" i="3"/>
  <c r="Q20" i="3"/>
  <c r="Q19" i="3"/>
  <c r="Q18" i="3"/>
  <c r="O20" i="3"/>
  <c r="O19" i="3"/>
  <c r="O18" i="3"/>
  <c r="L20" i="3"/>
  <c r="L19" i="3"/>
  <c r="L18" i="3"/>
  <c r="F3" i="9"/>
  <c r="G5" i="35"/>
  <c r="G6" i="35"/>
  <c r="G7" i="35"/>
  <c r="G8" i="35"/>
  <c r="G9" i="35"/>
  <c r="F6" i="35"/>
  <c r="F7" i="35"/>
  <c r="F8" i="35"/>
  <c r="F9" i="35"/>
  <c r="F5" i="35"/>
  <c r="D6" i="35"/>
  <c r="E6" i="35"/>
  <c r="D7" i="35"/>
  <c r="E7" i="35"/>
  <c r="D8" i="35"/>
  <c r="E8" i="35"/>
  <c r="D9" i="35"/>
  <c r="E9" i="35"/>
  <c r="E5" i="35"/>
  <c r="D5" i="35"/>
  <c r="S3" i="9"/>
  <c r="E5" i="34"/>
  <c r="D5" i="34"/>
  <c r="E7" i="34"/>
  <c r="D7" i="34"/>
  <c r="E6" i="34"/>
  <c r="D6" i="34"/>
  <c r="E6" i="33"/>
  <c r="E7" i="33"/>
  <c r="E8" i="33"/>
  <c r="E5" i="33"/>
  <c r="D6" i="33"/>
  <c r="D7" i="33"/>
  <c r="D8" i="33"/>
  <c r="D5" i="33"/>
  <c r="I3" i="9"/>
  <c r="E6" i="19"/>
  <c r="E7" i="19"/>
  <c r="E8" i="19"/>
  <c r="E9" i="19"/>
  <c r="E10" i="19"/>
  <c r="E5" i="19"/>
  <c r="D6" i="19"/>
  <c r="D7" i="19"/>
  <c r="D8" i="19"/>
  <c r="D9" i="19"/>
  <c r="D10" i="19"/>
  <c r="D5" i="19"/>
  <c r="Y19" i="3" l="1"/>
  <c r="Z20" i="3"/>
  <c r="W19" i="3"/>
  <c r="W20" i="3"/>
  <c r="R19" i="3"/>
  <c r="R20" i="3"/>
  <c r="S19" i="3"/>
  <c r="S20" i="3"/>
  <c r="Z19" i="3"/>
  <c r="Y20" i="3"/>
  <c r="V19" i="3"/>
  <c r="V20" i="3"/>
  <c r="N19" i="3"/>
  <c r="N20" i="3"/>
  <c r="M20" i="3"/>
  <c r="M19" i="3"/>
  <c r="P14" i="37"/>
  <c r="P44" i="37"/>
  <c r="P29" i="37"/>
  <c r="M29" i="37"/>
  <c r="M44" i="37"/>
  <c r="M14" i="37"/>
  <c r="F44" i="37"/>
  <c r="I14" i="37" l="1"/>
  <c r="I29" i="37"/>
  <c r="F29" i="37"/>
  <c r="F14" i="37"/>
  <c r="I44" i="37"/>
  <c r="K3" i="9"/>
  <c r="L3" i="9"/>
  <c r="M3" i="9"/>
  <c r="V26" i="9"/>
  <c r="U26" i="9"/>
  <c r="T26" i="9"/>
  <c r="V25" i="9"/>
  <c r="U25" i="9"/>
  <c r="T25" i="9"/>
  <c r="V24" i="9"/>
  <c r="U24" i="9"/>
  <c r="T24" i="9"/>
  <c r="V23" i="9"/>
  <c r="U23" i="9"/>
  <c r="T23" i="9"/>
  <c r="V22" i="9"/>
  <c r="U22" i="9"/>
  <c r="T22" i="9"/>
  <c r="V21" i="9"/>
  <c r="U21" i="9"/>
  <c r="T21" i="9"/>
  <c r="V20" i="9"/>
  <c r="U20" i="9"/>
  <c r="T20" i="9"/>
  <c r="V19" i="9"/>
  <c r="U19" i="9"/>
  <c r="T19" i="9"/>
  <c r="V18" i="9"/>
  <c r="U18" i="9"/>
  <c r="T18" i="9"/>
  <c r="V17" i="9"/>
  <c r="U17" i="9"/>
  <c r="T17" i="9"/>
  <c r="V16" i="9"/>
  <c r="U16" i="9"/>
  <c r="T16" i="9"/>
  <c r="V15" i="9"/>
  <c r="U15" i="9"/>
  <c r="T15" i="9"/>
  <c r="V14" i="9"/>
  <c r="U14" i="9"/>
  <c r="T14" i="9"/>
  <c r="V13" i="9"/>
  <c r="U13" i="9"/>
  <c r="T13" i="9"/>
  <c r="V12" i="9"/>
  <c r="U12" i="9"/>
  <c r="T12" i="9"/>
  <c r="V11" i="9"/>
  <c r="U11" i="9"/>
  <c r="T11" i="9"/>
  <c r="S12" i="9"/>
  <c r="S13" i="9"/>
  <c r="S14" i="9"/>
  <c r="S15" i="9"/>
  <c r="S16" i="9"/>
  <c r="S17" i="9"/>
  <c r="S18" i="9"/>
  <c r="S19" i="9"/>
  <c r="S20" i="9"/>
  <c r="S21" i="9"/>
  <c r="S22" i="9"/>
  <c r="S23" i="9"/>
  <c r="S11" i="9"/>
  <c r="R26" i="9"/>
  <c r="Q26" i="9"/>
  <c r="P26" i="9"/>
  <c r="O26" i="9"/>
  <c r="N26" i="9"/>
  <c r="R25" i="9"/>
  <c r="Q25" i="9"/>
  <c r="P25" i="9"/>
  <c r="O25" i="9"/>
  <c r="N25" i="9"/>
  <c r="R24" i="9"/>
  <c r="Q24" i="9"/>
  <c r="P24" i="9"/>
  <c r="O24" i="9"/>
  <c r="N24" i="9"/>
  <c r="R23" i="9"/>
  <c r="Q23" i="9"/>
  <c r="P23" i="9"/>
  <c r="O23" i="9"/>
  <c r="N23" i="9"/>
  <c r="R22" i="9"/>
  <c r="Q22" i="9"/>
  <c r="P22" i="9"/>
  <c r="O22" i="9"/>
  <c r="N22" i="9"/>
  <c r="R21" i="9"/>
  <c r="Q21" i="9"/>
  <c r="P21" i="9"/>
  <c r="O21" i="9"/>
  <c r="N21" i="9"/>
  <c r="R20" i="9"/>
  <c r="Q20" i="9"/>
  <c r="P20" i="9"/>
  <c r="O20" i="9"/>
  <c r="N20" i="9"/>
  <c r="R19" i="9"/>
  <c r="Q19" i="9"/>
  <c r="P19" i="9"/>
  <c r="O19" i="9"/>
  <c r="N19" i="9"/>
  <c r="R18" i="9"/>
  <c r="Q18" i="9"/>
  <c r="P18" i="9"/>
  <c r="O18" i="9"/>
  <c r="N18" i="9"/>
  <c r="R17" i="9"/>
  <c r="Q17" i="9"/>
  <c r="P17" i="9"/>
  <c r="O17" i="9"/>
  <c r="N17" i="9"/>
  <c r="R16" i="9"/>
  <c r="Q16" i="9"/>
  <c r="P16" i="9"/>
  <c r="O16" i="9"/>
  <c r="N16" i="9"/>
  <c r="R15" i="9"/>
  <c r="Q15" i="9"/>
  <c r="P15" i="9"/>
  <c r="O15" i="9"/>
  <c r="N15" i="9"/>
  <c r="R14" i="9"/>
  <c r="Q14" i="9"/>
  <c r="P14" i="9"/>
  <c r="O14" i="9"/>
  <c r="N14" i="9"/>
  <c r="R13" i="9"/>
  <c r="Q13" i="9"/>
  <c r="P13" i="9"/>
  <c r="O13" i="9"/>
  <c r="N13" i="9"/>
  <c r="R12" i="9"/>
  <c r="Q12" i="9"/>
  <c r="P12" i="9"/>
  <c r="O12" i="9"/>
  <c r="N12" i="9"/>
  <c r="R11" i="9"/>
  <c r="Q11" i="9"/>
  <c r="P11" i="9"/>
  <c r="O11" i="9"/>
  <c r="N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11" i="9"/>
  <c r="K26" i="9"/>
  <c r="K25" i="9"/>
  <c r="K24" i="9"/>
  <c r="K12" i="9"/>
  <c r="K13" i="9"/>
  <c r="K14" i="9"/>
  <c r="K15" i="9"/>
  <c r="K16" i="9"/>
  <c r="K17" i="9"/>
  <c r="K18" i="9"/>
  <c r="K19" i="9"/>
  <c r="K20" i="9"/>
  <c r="K11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I26" i="9"/>
  <c r="I25" i="9"/>
  <c r="I24" i="9"/>
  <c r="I23" i="9"/>
  <c r="I22" i="9"/>
  <c r="I21" i="9"/>
  <c r="I12" i="9"/>
  <c r="I13" i="9"/>
  <c r="I14" i="9"/>
  <c r="I15" i="9"/>
  <c r="I16" i="9"/>
  <c r="H26" i="9"/>
  <c r="G26" i="9"/>
  <c r="H25" i="9"/>
  <c r="G25" i="9"/>
  <c r="H24" i="9"/>
  <c r="G24" i="9"/>
  <c r="H23" i="9"/>
  <c r="G23" i="9"/>
  <c r="H22" i="9"/>
  <c r="G22" i="9"/>
  <c r="H21" i="9"/>
  <c r="G21" i="9"/>
  <c r="H20" i="9"/>
  <c r="G20" i="9"/>
  <c r="H19" i="9"/>
  <c r="G19" i="9"/>
  <c r="H18" i="9"/>
  <c r="G18" i="9"/>
  <c r="H17" i="9"/>
  <c r="G17" i="9"/>
  <c r="H16" i="9"/>
  <c r="G16" i="9"/>
  <c r="H15" i="9"/>
  <c r="G15" i="9"/>
  <c r="H14" i="9"/>
  <c r="G14" i="9"/>
  <c r="H13" i="9"/>
  <c r="G13" i="9"/>
  <c r="H12" i="9"/>
  <c r="G12" i="9"/>
  <c r="H11" i="9"/>
  <c r="G11" i="9"/>
  <c r="F18" i="9"/>
  <c r="F19" i="9"/>
  <c r="F20" i="9"/>
  <c r="F21" i="9"/>
  <c r="F22" i="9"/>
  <c r="F23" i="9"/>
  <c r="F24" i="9"/>
  <c r="F25" i="9"/>
  <c r="F26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11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T7" i="9"/>
  <c r="T3" i="9" s="1"/>
  <c r="U7" i="9"/>
  <c r="U3" i="9" s="1"/>
  <c r="V7" i="9"/>
  <c r="V3" i="9" s="1"/>
  <c r="V6" i="9"/>
  <c r="U6" i="9"/>
  <c r="T6" i="9"/>
  <c r="N7" i="9"/>
  <c r="N3" i="9" s="1"/>
  <c r="O7" i="9"/>
  <c r="O3" i="9" s="1"/>
  <c r="P7" i="9"/>
  <c r="P3" i="9" s="1"/>
  <c r="Q7" i="9"/>
  <c r="Q3" i="9" s="1"/>
  <c r="R7" i="9"/>
  <c r="R3" i="9" s="1"/>
  <c r="R6" i="9"/>
  <c r="Q6" i="9"/>
  <c r="P6" i="9"/>
  <c r="O6" i="9"/>
  <c r="N6" i="9"/>
  <c r="J7" i="9"/>
  <c r="J3" i="9" s="1"/>
  <c r="J6" i="9"/>
  <c r="H7" i="9"/>
  <c r="H3" i="9" s="1"/>
  <c r="H6" i="9"/>
  <c r="G7" i="9"/>
  <c r="G3" i="9" s="1"/>
  <c r="G6" i="9"/>
  <c r="E7" i="9"/>
  <c r="E3" i="9" s="1"/>
  <c r="E6" i="9"/>
  <c r="D7" i="9"/>
  <c r="D3" i="9" s="1"/>
  <c r="D6" i="9"/>
  <c r="C7" i="9"/>
  <c r="C3" i="9" s="1"/>
  <c r="C6" i="9"/>
  <c r="B7" i="9"/>
  <c r="B3" i="9" s="1"/>
  <c r="B6" i="9"/>
  <c r="I11" i="9"/>
  <c r="F17" i="9"/>
  <c r="A3" i="3"/>
  <c r="A4" i="3"/>
  <c r="A5" i="3"/>
  <c r="A6" i="3"/>
  <c r="A7" i="3"/>
  <c r="A8" i="3"/>
  <c r="A9" i="3"/>
  <c r="A10" i="3"/>
  <c r="A11" i="3"/>
  <c r="A12" i="3"/>
  <c r="A13" i="3"/>
  <c r="A2" i="3"/>
  <c r="G29" i="37" l="1"/>
  <c r="G14" i="37"/>
  <c r="J14" i="37"/>
  <c r="J29" i="37"/>
  <c r="J44" i="37"/>
  <c r="G44" i="37"/>
  <c r="K14" i="37"/>
  <c r="P7" i="3"/>
  <c r="P2" i="3"/>
  <c r="B3" i="2"/>
  <c r="B4" i="2"/>
  <c r="B5" i="2"/>
  <c r="B6" i="2"/>
  <c r="B7" i="2"/>
  <c r="B8" i="2"/>
  <c r="B9" i="2"/>
  <c r="B10" i="2"/>
  <c r="B11" i="2"/>
  <c r="B12" i="2"/>
  <c r="B13" i="2"/>
  <c r="B2" i="2"/>
  <c r="B13" i="3"/>
  <c r="N13" i="3" s="1"/>
  <c r="B12" i="3"/>
  <c r="N12" i="3" s="1"/>
  <c r="B11" i="3"/>
  <c r="B10" i="3"/>
  <c r="N10" i="3" s="1"/>
  <c r="B9" i="3"/>
  <c r="B8" i="3"/>
  <c r="B7" i="3"/>
  <c r="B6" i="3"/>
  <c r="B5" i="3"/>
  <c r="B4" i="3"/>
  <c r="N4" i="3" s="1"/>
  <c r="B3" i="3"/>
  <c r="N3" i="3" s="1"/>
  <c r="B2" i="3"/>
  <c r="N2" i="3" s="1"/>
  <c r="M2" i="3" l="1"/>
  <c r="M7" i="3"/>
  <c r="H7" i="3"/>
  <c r="I7" i="3" s="1"/>
  <c r="F7" i="3"/>
  <c r="H8" i="3"/>
  <c r="I8" i="3" s="1"/>
  <c r="F8" i="3"/>
  <c r="M9" i="3"/>
  <c r="H9" i="3"/>
  <c r="I9" i="3" s="1"/>
  <c r="F9" i="3"/>
  <c r="M11" i="3"/>
  <c r="H11" i="3"/>
  <c r="I11" i="3" s="1"/>
  <c r="F11" i="3"/>
  <c r="M5" i="3"/>
  <c r="F5" i="3"/>
  <c r="H5" i="3"/>
  <c r="I5" i="3" s="1"/>
  <c r="M12" i="3"/>
  <c r="H12" i="3"/>
  <c r="I12" i="3" s="1"/>
  <c r="F12" i="3"/>
  <c r="N7" i="3"/>
  <c r="N5" i="3"/>
  <c r="H2" i="3"/>
  <c r="I2" i="3" s="1"/>
  <c r="F2" i="3"/>
  <c r="M6" i="3"/>
  <c r="H6" i="3"/>
  <c r="I6" i="3" s="1"/>
  <c r="F6" i="3"/>
  <c r="N9" i="3"/>
  <c r="N6" i="3"/>
  <c r="F3" i="3"/>
  <c r="H3" i="3"/>
  <c r="I3" i="3" s="1"/>
  <c r="N11" i="3"/>
  <c r="M10" i="3"/>
  <c r="H10" i="3"/>
  <c r="I10" i="3" s="1"/>
  <c r="F10" i="3"/>
  <c r="N8" i="3"/>
  <c r="H13" i="3"/>
  <c r="I13" i="3" s="1"/>
  <c r="F13" i="3"/>
  <c r="M4" i="3"/>
  <c r="F4" i="3"/>
  <c r="H4" i="3"/>
  <c r="I4" i="3" s="1"/>
  <c r="D2" i="3"/>
  <c r="E3" i="3"/>
  <c r="K44" i="37"/>
  <c r="K29" i="37"/>
  <c r="L29" i="37"/>
  <c r="L14" i="37"/>
  <c r="L44" i="37"/>
  <c r="C2" i="3"/>
  <c r="C13" i="3"/>
  <c r="C9" i="3"/>
  <c r="C12" i="3"/>
  <c r="C8" i="3"/>
  <c r="C10" i="3"/>
  <c r="C7" i="3"/>
  <c r="C6" i="3"/>
  <c r="C4" i="3"/>
  <c r="C5" i="3"/>
  <c r="C11" i="3"/>
  <c r="C3" i="3"/>
  <c r="M13" i="3"/>
  <c r="M3" i="3"/>
  <c r="D6" i="3"/>
  <c r="M8" i="3"/>
  <c r="P8" i="3"/>
  <c r="P13" i="3"/>
  <c r="P6" i="3"/>
  <c r="P3" i="3"/>
  <c r="P12" i="3"/>
  <c r="P4" i="3"/>
  <c r="P11" i="3"/>
  <c r="P5" i="3"/>
  <c r="P10" i="3"/>
  <c r="P9" i="3"/>
  <c r="E13" i="3"/>
  <c r="E10" i="3"/>
  <c r="D4" i="3"/>
  <c r="E7" i="3"/>
  <c r="E6" i="3"/>
  <c r="E2" i="3"/>
  <c r="E12" i="3"/>
  <c r="E9" i="3"/>
  <c r="D12" i="3"/>
  <c r="E5" i="3"/>
  <c r="D5" i="3"/>
  <c r="D3" i="3"/>
  <c r="E11" i="3"/>
  <c r="E8" i="3"/>
  <c r="D10" i="3"/>
  <c r="D9" i="3"/>
  <c r="E4" i="3"/>
  <c r="D7" i="3"/>
  <c r="D13" i="3"/>
  <c r="D11" i="3"/>
  <c r="D8" i="3"/>
  <c r="N14" i="3" l="1"/>
  <c r="F14" i="3"/>
  <c r="J3" i="3"/>
  <c r="N14" i="37"/>
  <c r="N29" i="37"/>
  <c r="Q29" i="37"/>
  <c r="N44" i="37"/>
  <c r="Q14" i="37"/>
  <c r="O14" i="37"/>
  <c r="O44" i="37"/>
  <c r="Q44" i="37"/>
  <c r="J6" i="3"/>
  <c r="P14" i="3"/>
  <c r="J9" i="3"/>
  <c r="J10" i="3"/>
  <c r="J7" i="3"/>
  <c r="J4" i="3"/>
  <c r="G6" i="3"/>
  <c r="G4" i="3"/>
  <c r="J13" i="3"/>
  <c r="G8" i="3"/>
  <c r="G13" i="3"/>
  <c r="J8" i="3"/>
  <c r="G12" i="3"/>
  <c r="J2" i="3"/>
  <c r="J5" i="3"/>
  <c r="J11" i="3"/>
  <c r="J12" i="3"/>
  <c r="G11" i="3"/>
  <c r="G2" i="3"/>
  <c r="G3" i="3"/>
  <c r="G9" i="3"/>
  <c r="G7" i="3"/>
  <c r="G5" i="3"/>
  <c r="G10" i="3"/>
  <c r="O29" i="37" l="1"/>
  <c r="G14" i="3"/>
  <c r="K6" i="3"/>
  <c r="L6" i="3" s="1"/>
  <c r="K3" i="3"/>
  <c r="L3" i="3" s="1"/>
  <c r="K9" i="3"/>
  <c r="L9" i="3" s="1"/>
  <c r="K10" i="3"/>
  <c r="L10" i="3" s="1"/>
  <c r="K4" i="3"/>
  <c r="L4" i="3" s="1"/>
  <c r="K7" i="3"/>
  <c r="L7" i="3" s="1"/>
  <c r="K11" i="3"/>
  <c r="L11" i="3" s="1"/>
  <c r="K2" i="3"/>
  <c r="K13" i="3"/>
  <c r="L13" i="3" s="1"/>
  <c r="K12" i="3"/>
  <c r="L12" i="3" s="1"/>
  <c r="K8" i="3"/>
  <c r="L8" i="3" s="1"/>
  <c r="K5" i="3"/>
  <c r="L5" i="3" s="1"/>
  <c r="M14" i="3"/>
  <c r="O13" i="3" l="1"/>
  <c r="Q13" i="3" s="1"/>
  <c r="O11" i="3"/>
  <c r="Q11" i="3" s="1"/>
  <c r="O10" i="3"/>
  <c r="Q10" i="3" s="1"/>
  <c r="O8" i="3"/>
  <c r="Q8" i="3" s="1"/>
  <c r="O7" i="3"/>
  <c r="Q7" i="3" s="1"/>
  <c r="O12" i="3"/>
  <c r="Q12" i="3" s="1"/>
  <c r="O6" i="3"/>
  <c r="Q6" i="3" s="1"/>
  <c r="O4" i="3"/>
  <c r="Q4" i="3" s="1"/>
  <c r="O9" i="3"/>
  <c r="Q9" i="3" s="1"/>
  <c r="O5" i="3"/>
  <c r="Q5" i="3" s="1"/>
  <c r="O3" i="3"/>
  <c r="Q3" i="3" s="1"/>
  <c r="I14" i="3"/>
  <c r="J14" i="3"/>
  <c r="L2" i="3" l="1"/>
  <c r="O2" i="3" s="1"/>
  <c r="K14" i="3"/>
  <c r="L14" i="3" l="1"/>
  <c r="O14" i="3"/>
  <c r="Q2" i="3"/>
  <c r="Q14" i="3" s="1"/>
  <c r="U29" i="9" s="1"/>
  <c r="M29" i="9" l="1"/>
  <c r="T29" i="9"/>
  <c r="K29" i="9"/>
  <c r="N29" i="9"/>
  <c r="G29" i="9"/>
  <c r="J29" i="9"/>
  <c r="H29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814207-C6F1-41E8-9598-375BD1289CC7}" keepAlive="1" name="ThisWorkbookDataModel" description="数据模型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EF67FE5-4A74-405B-AB5F-F7B8BB118396}" name="WorksheetConnection_1_NOI_AFFO_3Scenario_Model_v1_formula.xlsx!CF_Scenario" type="102" refreshedVersion="8" minRefreshableVersion="5">
    <extLst>
      <ext xmlns:x15="http://schemas.microsoft.com/office/spreadsheetml/2010/11/main" uri="{DE250136-89BD-433C-8126-D09CA5730AF9}">
        <x15:connection id="CF_Scenario">
          <x15:rangePr sourceName="_xlcn.WorksheetConnection_1_NOI_AFFO_3Scenario_Model_v1_formula.xlsxCF_Scenario1"/>
        </x15:connection>
      </ext>
    </extLst>
  </connection>
  <connection id="3" xr16:uid="{B79AB521-61DD-4D15-8B2C-704CB907AF30}" keepAlive="1" name="查询 - CF_Base" description="与工作簿中“CF_Base”查询的连接。" type="5" refreshedVersion="8" background="1" saveData="1">
    <dbPr connection="Provider=Microsoft.Mashup.OleDb.1;Data Source=$Workbook$;Location=CF_Base;Extended Properties=&quot;&quot;" command="SELECT * FROM [CF_Base]"/>
  </connection>
  <connection id="4" xr16:uid="{1BED7C4D-19A3-4BF9-9BD1-F70067832369}" name="查询 - CF_Downside" description="与工作簿中“CF_Downside”查询的连接。" type="100" refreshedVersion="8" minRefreshableVersion="5">
    <extLst>
      <ext xmlns:x15="http://schemas.microsoft.com/office/spreadsheetml/2010/11/main" uri="{DE250136-89BD-433C-8126-D09CA5730AF9}">
        <x15:connection id="d6562f69-e85a-4d2f-902b-c206f41b0efa"/>
      </ext>
    </extLst>
  </connection>
  <connection id="5" xr16:uid="{6C059BE2-9491-438E-89AA-AA33C1A2E30A}" keepAlive="1" name="查询 - CF_Scenarios" description="与工作簿中“CF_Scenarios”查询的连接。" type="5" refreshedVersion="8" background="1" saveData="1">
    <dbPr connection="Provider=Microsoft.Mashup.OleDb.1;Data Source=$Workbook$;Location=CF_Scenarios;Extended Properties=&quot;&quot;" command="SELECT * FROM [CF_Scenarios]"/>
  </connection>
  <connection id="6" xr16:uid="{C2A7B072-CE1B-4520-802E-74F5B705B333}" keepAlive="1" name="查询 - CF_Upside" description="与工作簿中“CF_Upside”查询的连接。" type="5" refreshedVersion="8" background="1" saveData="1">
    <dbPr connection="Provider=Microsoft.Mashup.OleDb.1;Data Source=$Workbook$;Location=CF_Upside;Extended Properties=&quot;&quot;" command="SELECT * FROM [CF_Upside]"/>
  </connection>
</connections>
</file>

<file path=xl/sharedStrings.xml><?xml version="1.0" encoding="utf-8"?>
<sst xmlns="http://schemas.openxmlformats.org/spreadsheetml/2006/main" count="452" uniqueCount="223">
  <si>
    <t>Analysis_Start</t>
  </si>
  <si>
    <t>Analysis_Months</t>
  </si>
  <si>
    <t>GLA_sqft</t>
  </si>
  <si>
    <t>Base_Rent_psf_pa</t>
  </si>
  <si>
    <t>Annual_Rent_Growth_pct</t>
  </si>
  <si>
    <t>Free_Rent_Months</t>
  </si>
  <si>
    <t>Lease_Term_Months</t>
  </si>
  <si>
    <t>Downtime_Months</t>
  </si>
  <si>
    <t>Expense_Base_psf_pa</t>
  </si>
  <si>
    <t>Expense_Growth_pct</t>
  </si>
  <si>
    <t>CAM_Recovery_pct</t>
  </si>
  <si>
    <t>Bad_Debt_pct_of_Rent</t>
  </si>
  <si>
    <t>TI_psf</t>
  </si>
  <si>
    <t>TI($/psf)</t>
  </si>
  <si>
    <t>LC_pct_of_Year1_Rent</t>
  </si>
  <si>
    <t>TI_Amort_Years</t>
  </si>
  <si>
    <t>LC_Amort_Years</t>
  </si>
  <si>
    <t>Debt_Balance</t>
  </si>
  <si>
    <t>Reference_Rate_pct</t>
  </si>
  <si>
    <t>Spread_pct</t>
  </si>
  <si>
    <t>Hedge_pct_of_Debt</t>
  </si>
  <si>
    <t>Hedge_Fixed_Rate_pct</t>
  </si>
  <si>
    <t>Month_Index</t>
  </si>
  <si>
    <t>Month_Start</t>
  </si>
  <si>
    <t>Occupied</t>
  </si>
  <si>
    <t>FreeRent</t>
  </si>
  <si>
    <t>Rent_psf_pa</t>
  </si>
  <si>
    <t>Base_Rent</t>
  </si>
  <si>
    <t>Expense_psf_pa</t>
  </si>
  <si>
    <t>OpEx</t>
  </si>
  <si>
    <t>Recoveries</t>
  </si>
  <si>
    <t>Bad_Debt</t>
  </si>
  <si>
    <t>NOI_pre_Amort</t>
  </si>
  <si>
    <t>TI_Amort</t>
  </si>
  <si>
    <t>LC_Amort</t>
  </si>
  <si>
    <t>NOI</t>
  </si>
  <si>
    <t>Interest_Expense</t>
  </si>
  <si>
    <t>AFFO</t>
  </si>
  <si>
    <t>Totals</t>
  </si>
  <si>
    <t>Occupied*(1-FreeRent)*(Rent_psf_pa/12)*GLA_sqft</t>
  </si>
  <si>
    <t>(Expense_psf_pa/12)*GLA_sqft</t>
  </si>
  <si>
    <t>-(Base_Rent+Recoveries)*Bad_Debt_pct_of_Rent</t>
  </si>
  <si>
    <t>Base_Rent + Recoveries + Bad_Debt - OpEx</t>
  </si>
  <si>
    <t>NOI_pre_Amort + TI_Amort + LC_Amort</t>
  </si>
  <si>
    <t>NOI + Interest_Expense</t>
  </si>
  <si>
    <r>
      <rPr>
        <b/>
        <sz val="11"/>
        <color theme="1"/>
        <rFont val="宋体"/>
        <family val="2"/>
      </rPr>
      <t>字段</t>
    </r>
    <r>
      <rPr>
        <b/>
        <sz val="11"/>
        <color theme="1"/>
        <rFont val="Calibri"/>
        <family val="2"/>
      </rPr>
      <t>/</t>
    </r>
    <r>
      <rPr>
        <b/>
        <sz val="11"/>
        <color theme="1"/>
        <rFont val="宋体"/>
        <family val="2"/>
      </rPr>
      <t>公式</t>
    </r>
  </si>
  <si>
    <r>
      <rPr>
        <b/>
        <sz val="11"/>
        <color theme="1"/>
        <rFont val="宋体"/>
        <family val="2"/>
      </rPr>
      <t>说明</t>
    </r>
  </si>
  <si>
    <t>Month_Index&gt;=Downtime+1, Month_Index&lt;=Downtime+Lease_Term</t>
    <phoneticPr fontId="1" type="noConversion"/>
  </si>
  <si>
    <t>Month_Index&gt;=Downtime+1, Month_Index&lt;=Downtime+Free_Rent</t>
    <phoneticPr fontId="1" type="noConversion"/>
  </si>
  <si>
    <t>Monthly compounding annual rent growth</t>
  </si>
  <si>
    <t>Monthly compounding Expense_Base_psf_pa</t>
    <phoneticPr fontId="1" type="noConversion"/>
  </si>
  <si>
    <t>Occupied OpEx with CAM_Recovery</t>
    <phoneticPr fontId="1" type="noConversion"/>
  </si>
  <si>
    <r>
      <rPr>
        <sz val="11"/>
        <color theme="1"/>
        <rFont val="宋体"/>
        <family val="2"/>
      </rPr>
      <t>文本</t>
    </r>
    <r>
      <rPr>
        <sz val="11"/>
        <color theme="1"/>
        <rFont val="Calibri"/>
        <family val="2"/>
      </rPr>
      <t>/</t>
    </r>
    <r>
      <rPr>
        <sz val="11"/>
        <color theme="1"/>
        <rFont val="宋体"/>
        <family val="2"/>
      </rPr>
      <t>标识</t>
    </r>
  </si>
  <si>
    <r>
      <rPr>
        <sz val="11"/>
        <color theme="1"/>
        <rFont val="宋体"/>
        <family val="2"/>
      </rPr>
      <t>分析起始日</t>
    </r>
  </si>
  <si>
    <r>
      <rPr>
        <sz val="11"/>
        <color theme="1"/>
        <rFont val="宋体"/>
        <family val="2"/>
      </rPr>
      <t>分析月数</t>
    </r>
  </si>
  <si>
    <r>
      <t>GLA(</t>
    </r>
    <r>
      <rPr>
        <sz val="11"/>
        <color theme="1"/>
        <rFont val="宋体"/>
        <family val="2"/>
      </rPr>
      <t>平方英尺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</si>
  <si>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宋体"/>
        <family val="2"/>
      </rPr>
      <t>首年租金</t>
    </r>
    <r>
      <rPr>
        <sz val="11"/>
        <color theme="1"/>
        <rFont val="Calibri"/>
        <family val="2"/>
      </rPr>
      <t>($/psf/</t>
    </r>
    <r>
      <rPr>
        <sz val="11"/>
        <color theme="1"/>
        <rFont val="宋体"/>
        <family val="2"/>
      </rPr>
      <t>年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</si>
  <si>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宋体"/>
        <family val="2"/>
      </rPr>
      <t>租金年增长率</t>
    </r>
  </si>
  <si>
    <r>
      <rPr>
        <sz val="11"/>
        <color theme="1"/>
        <rFont val="宋体"/>
        <family val="2"/>
      </rPr>
      <t>免租</t>
    </r>
    <r>
      <rPr>
        <sz val="11"/>
        <color theme="1"/>
        <rFont val="Calibri"/>
        <family val="2"/>
      </rPr>
      <t>(</t>
    </r>
    <r>
      <rPr>
        <sz val="11"/>
        <color theme="1"/>
        <rFont val="宋体"/>
        <family val="2"/>
      </rPr>
      <t>月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</si>
  <si>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宋体"/>
        <family val="2"/>
      </rPr>
      <t>租期</t>
    </r>
    <r>
      <rPr>
        <sz val="11"/>
        <color theme="1"/>
        <rFont val="Calibri"/>
        <family val="2"/>
      </rPr>
      <t>(</t>
    </r>
    <r>
      <rPr>
        <sz val="11"/>
        <color theme="1"/>
        <rFont val="宋体"/>
        <family val="2"/>
      </rPr>
      <t>月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</si>
  <si>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宋体"/>
        <family val="2"/>
      </rPr>
      <t>起租前空置</t>
    </r>
    <r>
      <rPr>
        <sz val="11"/>
        <color theme="1"/>
        <rFont val="Calibri"/>
        <family val="2"/>
      </rPr>
      <t>(</t>
    </r>
    <r>
      <rPr>
        <sz val="11"/>
        <color theme="1"/>
        <rFont val="宋体"/>
        <family val="2"/>
      </rPr>
      <t>月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</si>
  <si>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宋体"/>
        <family val="2"/>
      </rPr>
      <t>费用基准</t>
    </r>
    <r>
      <rPr>
        <sz val="11"/>
        <color theme="1"/>
        <rFont val="Calibri"/>
        <family val="2"/>
      </rPr>
      <t>($/psf/</t>
    </r>
    <r>
      <rPr>
        <sz val="11"/>
        <color theme="1"/>
        <rFont val="宋体"/>
        <family val="2"/>
      </rPr>
      <t>年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</si>
  <si>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宋体"/>
        <family val="2"/>
      </rPr>
      <t>费用年增长率</t>
    </r>
  </si>
  <si>
    <r>
      <rPr>
        <sz val="11"/>
        <color theme="1"/>
        <rFont val="宋体"/>
        <family val="2"/>
      </rPr>
      <t>可回收比例</t>
    </r>
  </si>
  <si>
    <r>
      <rPr>
        <sz val="11"/>
        <color theme="1"/>
        <rFont val="宋体"/>
        <family val="2"/>
      </rPr>
      <t>坏账率</t>
    </r>
    <r>
      <rPr>
        <sz val="11"/>
        <color theme="1"/>
        <rFont val="Calibri"/>
        <family val="2"/>
      </rPr>
      <t>(</t>
    </r>
    <r>
      <rPr>
        <sz val="11"/>
        <color theme="1"/>
        <rFont val="宋体"/>
        <family val="2"/>
      </rPr>
      <t>对租金</t>
    </r>
    <r>
      <rPr>
        <sz val="11"/>
        <color theme="1"/>
        <rFont val="Calibri"/>
        <family val="2"/>
      </rPr>
      <t>+Recoveries)</t>
    </r>
  </si>
  <si>
    <r>
      <t>LC(</t>
    </r>
    <r>
      <rPr>
        <sz val="11"/>
        <color theme="1"/>
        <rFont val="宋体"/>
        <family val="2"/>
      </rPr>
      <t>首年租金</t>
    </r>
    <r>
      <rPr>
        <sz val="11"/>
        <color theme="1"/>
        <rFont val="Calibri"/>
        <family val="2"/>
      </rPr>
      <t>%)</t>
    </r>
  </si>
  <si>
    <r>
      <t>TI</t>
    </r>
    <r>
      <rPr>
        <sz val="11"/>
        <color theme="1"/>
        <rFont val="宋体"/>
        <family val="2"/>
      </rPr>
      <t>摊销</t>
    </r>
    <r>
      <rPr>
        <sz val="11"/>
        <color theme="1"/>
        <rFont val="Calibri"/>
        <family val="2"/>
      </rPr>
      <t>(</t>
    </r>
    <r>
      <rPr>
        <sz val="11"/>
        <color theme="1"/>
        <rFont val="宋体"/>
        <family val="2"/>
      </rPr>
      <t>年</t>
    </r>
    <r>
      <rPr>
        <sz val="11"/>
        <color theme="1"/>
        <rFont val="Calibri"/>
        <family val="2"/>
      </rPr>
      <t>)</t>
    </r>
  </si>
  <si>
    <r>
      <t>LC</t>
    </r>
    <r>
      <rPr>
        <sz val="11"/>
        <color theme="1"/>
        <rFont val="宋体"/>
        <family val="2"/>
      </rPr>
      <t>摊销</t>
    </r>
    <r>
      <rPr>
        <sz val="11"/>
        <color theme="1"/>
        <rFont val="Calibri"/>
        <family val="2"/>
      </rPr>
      <t>(</t>
    </r>
    <r>
      <rPr>
        <sz val="11"/>
        <color theme="1"/>
        <rFont val="宋体"/>
        <family val="2"/>
      </rPr>
      <t>年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</si>
  <si>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宋体"/>
        <family val="2"/>
      </rPr>
      <t>债务余额</t>
    </r>
  </si>
  <si>
    <r>
      <rPr>
        <sz val="11"/>
        <color theme="1"/>
        <rFont val="宋体"/>
        <family val="2"/>
      </rPr>
      <t>参考利率</t>
    </r>
  </si>
  <si>
    <r>
      <rPr>
        <sz val="11"/>
        <color theme="1"/>
        <rFont val="宋体"/>
        <family val="2"/>
      </rPr>
      <t>利差</t>
    </r>
  </si>
  <si>
    <r>
      <rPr>
        <sz val="11"/>
        <color theme="1"/>
        <rFont val="宋体"/>
        <family val="2"/>
      </rPr>
      <t>对冲比例</t>
    </r>
  </si>
  <si>
    <r>
      <rPr>
        <sz val="11"/>
        <color theme="1"/>
        <rFont val="宋体"/>
        <family val="2"/>
      </rPr>
      <t>对冲固定利率</t>
    </r>
  </si>
  <si>
    <t>only for TI_Amort_Years, evenly amortized</t>
    <phoneticPr fontId="1" type="noConversion"/>
  </si>
  <si>
    <t>only for LC_Amort_Years, evenly amortized</t>
    <phoneticPr fontId="1" type="noConversion"/>
  </si>
  <si>
    <t>Smooths large upfront costs into uniform monthly charges to show stabilized NOI/AFFO impact.</t>
    <phoneticPr fontId="1" type="noConversion"/>
  </si>
  <si>
    <t>Aligns one-off leasing costs with the economic benefit period of the lease.</t>
    <phoneticPr fontId="1" type="noConversion"/>
  </si>
  <si>
    <t>Debt_Balance with Eff_rate per month</t>
    <phoneticPr fontId="1" type="noConversion"/>
  </si>
  <si>
    <t>Base</t>
    <phoneticPr fontId="1" type="noConversion"/>
  </si>
  <si>
    <t>Upside</t>
    <phoneticPr fontId="1" type="noConversion"/>
  </si>
  <si>
    <t>Downside</t>
    <phoneticPr fontId="1" type="noConversion"/>
  </si>
  <si>
    <t>Sensitivity</t>
    <phoneticPr fontId="1" type="noConversion"/>
  </si>
  <si>
    <t>Candidate</t>
  </si>
  <si>
    <t>Year_NOI_pre_Amort</t>
  </si>
  <si>
    <t>Year_AFFO</t>
  </si>
  <si>
    <t>Δ% vs Base</t>
  </si>
  <si>
    <t>Rent Growth (Annual_Rent_Growth_pct) Sensitivity</t>
    <phoneticPr fontId="1" type="noConversion"/>
  </si>
  <si>
    <t>ΔNOI vs Base</t>
    <phoneticPr fontId="1" type="noConversion"/>
  </si>
  <si>
    <t>Scenario Selection</t>
    <phoneticPr fontId="1" type="noConversion"/>
  </si>
  <si>
    <t>Quarter</t>
    <phoneticPr fontId="1" type="noConversion"/>
  </si>
  <si>
    <t>Q1</t>
  </si>
  <si>
    <t>Q1</t>
    <phoneticPr fontId="1" type="noConversion"/>
  </si>
  <si>
    <t>Q2</t>
  </si>
  <si>
    <t>Q3</t>
  </si>
  <si>
    <t>Q4</t>
  </si>
  <si>
    <t>Q2</t>
    <phoneticPr fontId="1" type="noConversion"/>
  </si>
  <si>
    <t>Q3</t>
    <phoneticPr fontId="1" type="noConversion"/>
  </si>
  <si>
    <t>Q4</t>
    <phoneticPr fontId="1" type="noConversion"/>
  </si>
  <si>
    <t>OVR_RG_0bps</t>
  </si>
  <si>
    <t>OVR_RG_2bps</t>
  </si>
  <si>
    <t>OVR_RG_3bps</t>
  </si>
  <si>
    <t>OVR_RG_4bps</t>
  </si>
  <si>
    <t>OVR_RG_5bps</t>
  </si>
  <si>
    <t>OVR_RG_6bps</t>
  </si>
  <si>
    <t>OVR_DT_0m</t>
  </si>
  <si>
    <t>OVR_DT_1m</t>
  </si>
  <si>
    <t>OVR_DT_2m</t>
  </si>
  <si>
    <t>OVR_DT_3m</t>
  </si>
  <si>
    <t>OVR_EG_1</t>
  </si>
  <si>
    <t>OVR_EG_2</t>
  </si>
  <si>
    <t>OVR_EG_3</t>
  </si>
  <si>
    <t>OVR_RR_4</t>
  </si>
  <si>
    <t>OVR_RR_5</t>
  </si>
  <si>
    <t>OVR_RR_6</t>
  </si>
  <si>
    <t>Base</t>
  </si>
  <si>
    <t>取值/公式示例</t>
  </si>
  <si>
    <t>备注</t>
  </si>
  <si>
    <t>Tenant</t>
  </si>
  <si>
    <t>Tenant_ID</t>
  </si>
  <si>
    <t>可与 Suite 拼接保证唯一</t>
  </si>
  <si>
    <t>单位一致</t>
  </si>
  <si>
    <t>Lease_Start</t>
  </si>
  <si>
    <t>若项目统一起算，可设全局起算月</t>
  </si>
  <si>
    <t>月数</t>
  </si>
  <si>
    <t>起租前空置</t>
  </si>
  <si>
    <t>Base_Rent_psf_pa_Y1</t>
  </si>
  <si>
    <t>$/psf/年</t>
  </si>
  <si>
    <t>Annual_Rent_Growth_%</t>
  </si>
  <si>
    <t>小数 0–0.05</t>
  </si>
  <si>
    <t>Expense_Structure</t>
  </si>
  <si>
    <t>Expense_Model</t>
  </si>
  <si>
    <t>“NNN/Modified/Gross”</t>
  </si>
  <si>
    <t>影响 Recoveries 模块</t>
  </si>
  <si>
    <t>Base_Year</t>
  </si>
  <si>
    <t>Modified/Gross 常用</t>
  </si>
  <si>
    <t>Expense_Stop_psf</t>
  </si>
  <si>
    <t>超出由租户承担</t>
  </si>
  <si>
    <t>CAM_Cap_%</t>
  </si>
  <si>
    <t>CAM_Cap_pct</t>
  </si>
  <si>
    <t>Recoveries 上限</t>
  </si>
  <si>
    <t>TI_$psf</t>
  </si>
  <si>
    <t>一次性或摊销</t>
  </si>
  <si>
    <t>LC_%_of_Y1_Rent</t>
  </si>
  <si>
    <t>LC_%_of_Year1_Rent</t>
  </si>
  <si>
    <t>% of Year1 Rent</t>
  </si>
  <si>
    <t>Percent_Rent</t>
  </si>
  <si>
    <t>Percent_Rent_Terms</t>
  </si>
  <si>
    <t>进入可变租金模块</t>
  </si>
  <si>
    <t>Bad_Debt_Flag</t>
  </si>
  <si>
    <t>Bad_Debt_Assumption</t>
  </si>
  <si>
    <t>口径示例</t>
  </si>
  <si>
    <t>Rent Roll</t>
    <phoneticPr fontId="1" type="noConversion"/>
  </si>
  <si>
    <t>Inputs</t>
    <phoneticPr fontId="1" type="noConversion"/>
  </si>
  <si>
    <t>IF(Flag=1,0.02,0.01)</t>
    <phoneticPr fontId="1" type="noConversion"/>
  </si>
  <si>
    <t>Exception Clauses Checklist</t>
    <phoneticPr fontId="1" type="noConversion"/>
  </si>
  <si>
    <t>To pre-screen high-risk or cash-flow-uncertain lease clauses before reporting, and to parameterize their impacts in the model as Overrides.
Each item below should be summarized in one to two lines in your Issues Log.</t>
    <phoneticPr fontId="1" type="noConversion"/>
  </si>
  <si>
    <t>Co-tenancy</t>
  </si>
  <si>
    <t>set Base_Rent = 0 or apply a discount factor</t>
    <phoneticPr fontId="1" type="noConversion"/>
  </si>
  <si>
    <r>
      <rPr>
        <sz val="11"/>
        <color theme="1"/>
        <rFont val="宋体"/>
        <family val="2"/>
      </rPr>
      <t>共同租赁</t>
    </r>
    <r>
      <rPr>
        <sz val="11"/>
        <color theme="1"/>
        <rFont val="Calibri"/>
        <family val="2"/>
      </rPr>
      <t>/</t>
    </r>
    <r>
      <rPr>
        <sz val="11"/>
        <color theme="1"/>
        <rFont val="宋体"/>
        <family val="2"/>
      </rPr>
      <t>锚店业绩触发</t>
    </r>
  </si>
  <si>
    <r>
      <t xml:space="preserve">If an anchor tenant closes or its sales drop below the defined threshold, the tenant may </t>
    </r>
    <r>
      <rPr>
        <b/>
        <sz val="11"/>
        <color theme="1"/>
        <rFont val="Calibri"/>
        <family val="2"/>
      </rPr>
      <t>reduce rent, enter free-rent period, or terminate</t>
    </r>
    <r>
      <rPr>
        <sz val="11"/>
        <color theme="1"/>
        <rFont val="Calibri"/>
        <family val="2"/>
      </rPr>
      <t xml:space="preserve"> the lease.</t>
    </r>
  </si>
  <si>
    <t>Exclusive Use</t>
  </si>
  <si>
    <r>
      <rPr>
        <sz val="11"/>
        <color theme="1"/>
        <rFont val="宋体"/>
        <family val="2"/>
      </rPr>
      <t>独家经营权</t>
    </r>
  </si>
  <si>
    <r>
      <t xml:space="preserve">Prohibits the landlord from leasing to competing tenants. This </t>
    </r>
    <r>
      <rPr>
        <b/>
        <sz val="11"/>
        <color theme="1"/>
        <rFont val="Calibri"/>
        <family val="2"/>
      </rPr>
      <t>reduces leasing flexibility</t>
    </r>
    <r>
      <rPr>
        <sz val="11"/>
        <color theme="1"/>
        <rFont val="Calibri"/>
        <family val="2"/>
      </rPr>
      <t xml:space="preserve"> and may </t>
    </r>
    <r>
      <rPr>
        <b/>
        <sz val="11"/>
        <color theme="1"/>
        <rFont val="Calibri"/>
        <family val="2"/>
      </rPr>
      <t>extend downtime</t>
    </r>
    <r>
      <rPr>
        <sz val="11"/>
        <color theme="1"/>
        <rFont val="Calibri"/>
        <family val="2"/>
      </rPr>
      <t xml:space="preserve"> for vacant space.</t>
    </r>
  </si>
  <si>
    <t>Kick-out / Early Termination</t>
  </si>
  <si>
    <t>Allows termination if sales fall below a threshold (e.g., after 36 months).</t>
  </si>
  <si>
    <r>
      <t xml:space="preserve">increase </t>
    </r>
    <r>
      <rPr>
        <sz val="10"/>
        <color theme="1"/>
        <rFont val="Calibri"/>
        <family val="2"/>
      </rPr>
      <t>Downtime</t>
    </r>
    <r>
      <rPr>
        <sz val="11"/>
        <color theme="1"/>
        <rFont val="Calibri"/>
        <family val="2"/>
      </rPr>
      <t xml:space="preserve"> or reduce </t>
    </r>
    <r>
      <rPr>
        <sz val="10"/>
        <color theme="1"/>
        <rFont val="Calibri"/>
        <family val="2"/>
      </rPr>
      <t>Rent_Growth</t>
    </r>
  </si>
  <si>
    <r>
      <rPr>
        <sz val="11"/>
        <color theme="1"/>
        <rFont val="宋体"/>
        <family val="3"/>
        <charset val="134"/>
      </rPr>
      <t>提前解约权</t>
    </r>
  </si>
  <si>
    <r>
      <t xml:space="preserve">set </t>
    </r>
    <r>
      <rPr>
        <sz val="10"/>
        <color theme="1"/>
        <rFont val="Calibri"/>
        <family val="2"/>
      </rPr>
      <t>Occupied = 0</t>
    </r>
    <r>
      <rPr>
        <sz val="11"/>
        <color theme="1"/>
        <rFont val="Calibri"/>
        <family val="2"/>
      </rPr>
      <t xml:space="preserve"> and create a </t>
    </r>
    <r>
      <rPr>
        <b/>
        <sz val="11"/>
        <color theme="1"/>
        <rFont val="Calibri"/>
        <family val="2"/>
      </rPr>
      <t>second downtime</t>
    </r>
    <r>
      <rPr>
        <sz val="11"/>
        <color theme="1"/>
        <rFont val="Calibri"/>
        <family val="2"/>
      </rPr>
      <t xml:space="preserve"> period</t>
    </r>
  </si>
  <si>
    <t>Side Letter</t>
  </si>
  <si>
    <r>
      <rPr>
        <sz val="11"/>
        <color theme="1"/>
        <rFont val="宋体"/>
        <family val="3"/>
        <charset val="134"/>
      </rPr>
      <t>边函</t>
    </r>
  </si>
  <si>
    <r>
      <t xml:space="preserve">add </t>
    </r>
    <r>
      <rPr>
        <b/>
        <sz val="11"/>
        <color theme="1"/>
        <rFont val="Calibri"/>
        <family val="2"/>
      </rPr>
      <t>one-off cash outflow</t>
    </r>
    <r>
      <rPr>
        <sz val="11"/>
        <color theme="1"/>
        <rFont val="Calibri"/>
        <family val="2"/>
      </rPr>
      <t xml:space="preserve"> or extend the </t>
    </r>
    <r>
      <rPr>
        <sz val="10"/>
        <color theme="1"/>
        <rFont val="Calibri"/>
        <family val="2"/>
      </rPr>
      <t>Free_Rent</t>
    </r>
    <r>
      <rPr>
        <sz val="11"/>
        <color theme="1"/>
        <rFont val="Calibri"/>
        <family val="2"/>
      </rPr>
      <t xml:space="preserve"> months</t>
    </r>
  </si>
  <si>
    <r>
      <t xml:space="preserve">Separate agreement granting </t>
    </r>
    <r>
      <rPr>
        <b/>
        <sz val="11"/>
        <color theme="1"/>
        <rFont val="Calibri"/>
        <family val="2"/>
      </rPr>
      <t>extra free rent, tenant allowance, signage rights, or marketing support</t>
    </r>
    <r>
      <rPr>
        <sz val="11"/>
        <color theme="1"/>
        <rFont val="Calibri"/>
        <family val="2"/>
      </rPr>
      <t xml:space="preserve"> not stated in the main lease.</t>
    </r>
  </si>
  <si>
    <t>tenant can match any third-party offer</t>
  </si>
  <si>
    <t>tenant must be offered first before marketing externally.</t>
  </si>
  <si>
    <r>
      <t xml:space="preserve">under stress scenarios, raise </t>
    </r>
    <r>
      <rPr>
        <sz val="10"/>
        <color theme="1"/>
        <rFont val="Calibri"/>
        <family val="2"/>
      </rPr>
      <t>Bad_Debt</t>
    </r>
    <r>
      <rPr>
        <sz val="11"/>
        <color theme="1"/>
        <rFont val="Calibri"/>
        <family val="2"/>
      </rPr>
      <t xml:space="preserve"> or add a </t>
    </r>
    <r>
      <rPr>
        <b/>
        <sz val="11"/>
        <color theme="1"/>
        <rFont val="Calibri"/>
        <family val="2"/>
      </rPr>
      <t>termination probability</t>
    </r>
    <r>
      <rPr>
        <sz val="11"/>
        <color theme="1"/>
        <rFont val="Calibri"/>
        <family val="2"/>
      </rPr>
      <t>.</t>
    </r>
  </si>
  <si>
    <r>
      <t xml:space="preserve">Without an SNDA, foreclosure or lender enforcement may </t>
    </r>
    <r>
      <rPr>
        <b/>
        <sz val="11"/>
        <color theme="1"/>
        <rFont val="Calibri"/>
        <family val="2"/>
      </rPr>
      <t>void or renegotiate</t>
    </r>
    <r>
      <rPr>
        <sz val="11"/>
        <color theme="1"/>
        <rFont val="Calibri"/>
        <family val="2"/>
      </rPr>
      <t xml:space="preserve"> leases.</t>
    </r>
  </si>
  <si>
    <r>
      <t>expansion rent uplift</t>
    </r>
    <r>
      <rPr>
        <sz val="11"/>
        <color theme="1"/>
        <rFont val="Calibri"/>
        <family val="2"/>
      </rPr>
      <t xml:space="preserve"> or </t>
    </r>
    <r>
      <rPr>
        <b/>
        <sz val="11"/>
        <color theme="1"/>
        <rFont val="Calibri"/>
        <family val="2"/>
      </rPr>
      <t>extend leasing lead time</t>
    </r>
    <r>
      <rPr>
        <sz val="11"/>
        <color theme="1"/>
        <rFont val="Calibri"/>
        <family val="2"/>
      </rPr>
      <t>.</t>
    </r>
  </si>
  <si>
    <t>ROFR</t>
    <phoneticPr fontId="1" type="noConversion"/>
  </si>
  <si>
    <t>ROFO</t>
    <phoneticPr fontId="1" type="noConversion"/>
  </si>
  <si>
    <t>SNDA</t>
    <phoneticPr fontId="1" type="noConversion"/>
  </si>
  <si>
    <t>Base Year / Expense Stop</t>
  </si>
  <si>
    <t>CAM Cap / Collar</t>
  </si>
  <si>
    <t>Go-Dark / Continuous Operation</t>
  </si>
  <si>
    <t>Percentage Rent</t>
  </si>
  <si>
    <t>Rent linked to sales above a threshold; should not be straight-lined or recognized before threshold attainment.</t>
  </si>
  <si>
    <r>
      <t>Recovery = Share × MAX(0, OpEx – Base/Stop) × GLA</t>
    </r>
    <r>
      <rPr>
        <sz val="11"/>
        <color theme="1"/>
        <rFont val="Calibri"/>
        <family val="2"/>
      </rPr>
      <t>.</t>
    </r>
  </si>
  <si>
    <r>
      <t xml:space="preserve">Tenant reimburses operating expenses </t>
    </r>
    <r>
      <rPr>
        <b/>
        <sz val="11"/>
        <color theme="1"/>
        <rFont val="Calibri"/>
        <family val="2"/>
      </rPr>
      <t>only above</t>
    </r>
    <r>
      <rPr>
        <sz val="11"/>
        <color theme="1"/>
        <rFont val="Calibri"/>
        <family val="2"/>
      </rPr>
      <t xml:space="preserve"> the base year or stop level.</t>
    </r>
  </si>
  <si>
    <r>
      <t>Recovery = MIN( MAX(Raw_Recovery, Prior × (1 – Floor%)), Prior × (1 + Cap%) )</t>
    </r>
    <r>
      <rPr>
        <sz val="11"/>
        <color theme="1"/>
        <rFont val="Calibri"/>
        <family val="2"/>
      </rPr>
      <t>.</t>
    </r>
  </si>
  <si>
    <r>
      <t xml:space="preserve">Places an annual </t>
    </r>
    <r>
      <rPr>
        <b/>
        <sz val="11"/>
        <color theme="1"/>
        <rFont val="Calibri"/>
        <family val="2"/>
      </rPr>
      <t>upper (cap)</t>
    </r>
    <r>
      <rPr>
        <sz val="11"/>
        <color theme="1"/>
        <rFont val="Calibri"/>
        <family val="2"/>
      </rPr>
      <t xml:space="preserve"> or </t>
    </r>
    <r>
      <rPr>
        <b/>
        <sz val="11"/>
        <color theme="1"/>
        <rFont val="Calibri"/>
        <family val="2"/>
      </rPr>
      <t>band (collar)</t>
    </r>
    <r>
      <rPr>
        <sz val="11"/>
        <color theme="1"/>
        <rFont val="Calibri"/>
        <family val="2"/>
      </rPr>
      <t xml:space="preserve"> limit on recoverable expenses, reducing recovery elasticity.</t>
    </r>
  </si>
  <si>
    <r>
      <t xml:space="preserve">apply secondary increases to other tenants’ </t>
    </r>
    <r>
      <rPr>
        <sz val="10"/>
        <color theme="1"/>
        <rFont val="Calibri"/>
        <family val="2"/>
      </rPr>
      <t>Downtime</t>
    </r>
    <r>
      <rPr>
        <sz val="11"/>
        <color theme="1"/>
        <rFont val="Calibri"/>
        <family val="2"/>
      </rPr>
      <t xml:space="preserve"> or </t>
    </r>
    <r>
      <rPr>
        <sz val="10"/>
        <color theme="1"/>
        <rFont val="Calibri"/>
        <family val="2"/>
      </rPr>
      <t>Bad_Debt</t>
    </r>
    <r>
      <rPr>
        <sz val="11"/>
        <color theme="1"/>
        <rFont val="Calibri"/>
        <family val="2"/>
      </rPr>
      <t>.</t>
    </r>
  </si>
  <si>
    <r>
      <t xml:space="preserve">Permits tenant to cease operations while continuing rent payments. This can </t>
    </r>
    <r>
      <rPr>
        <b/>
        <sz val="11"/>
        <color theme="1"/>
        <rFont val="Calibri"/>
        <family val="2"/>
      </rPr>
      <t>reduce foot traffic</t>
    </r>
    <r>
      <rPr>
        <sz val="11"/>
        <color theme="1"/>
        <rFont val="Calibri"/>
        <family val="2"/>
      </rPr>
      <t xml:space="preserve"> and </t>
    </r>
    <r>
      <rPr>
        <b/>
        <sz val="11"/>
        <color theme="1"/>
        <rFont val="Calibri"/>
        <family val="2"/>
      </rPr>
      <t>trigger other tenants’ co-tenancy clauses</t>
    </r>
    <r>
      <rPr>
        <sz val="11"/>
        <color theme="1"/>
        <rFont val="Calibri"/>
        <family val="2"/>
      </rPr>
      <t>.</t>
    </r>
  </si>
  <si>
    <r>
      <t xml:space="preserve">keep a </t>
    </r>
    <r>
      <rPr>
        <b/>
        <sz val="11"/>
        <color theme="1"/>
        <rFont val="Calibri"/>
        <family val="2"/>
      </rPr>
      <t>separate variable-rent module</t>
    </r>
    <r>
      <rPr>
        <sz val="11"/>
        <color theme="1"/>
        <rFont val="Calibri"/>
        <family val="2"/>
      </rPr>
      <t xml:space="preserve">, activated only when </t>
    </r>
    <r>
      <rPr>
        <sz val="10"/>
        <color theme="1"/>
        <rFont val="Calibri"/>
        <family val="2"/>
      </rPr>
      <t>Sales &gt; Breakpoint</t>
    </r>
    <r>
      <rPr>
        <sz val="11"/>
        <color theme="1"/>
        <rFont val="Calibri"/>
        <family val="2"/>
      </rPr>
      <t>.</t>
    </r>
  </si>
  <si>
    <r>
      <t>&gt; Workflow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Calibri"/>
        <family val="3"/>
      </rPr>
      <t>identify clauses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Calibri"/>
        <family val="2"/>
      </rPr>
      <t xml:space="preserve"> Issues Log 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3"/>
      </rPr>
      <t>confirm with Leasing/Legal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Calibri"/>
        <family val="2"/>
      </rPr>
      <t xml:space="preserve"> parameterized in Overrides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Calibri"/>
        <family val="3"/>
      </rPr>
      <t>impanct on:</t>
    </r>
    <r>
      <rPr>
        <sz val="11"/>
        <color theme="1"/>
        <rFont val="Calibri"/>
        <family val="2"/>
      </rPr>
      <t xml:space="preserve"> Occupied/FreeRent/Base_Rent/Recoveries/TI/LC/Bad_Debt </t>
    </r>
    <phoneticPr fontId="1" type="noConversion"/>
  </si>
  <si>
    <t>NOI_pre</t>
    <phoneticPr fontId="1" type="noConversion"/>
  </si>
  <si>
    <t>AFFO</t>
    <phoneticPr fontId="1" type="noConversion"/>
  </si>
  <si>
    <t>Downtime (Downtime_Months) Sensitivity</t>
    <phoneticPr fontId="1" type="noConversion"/>
  </si>
  <si>
    <t>Expense Growth (Expense_Growth_pct) Sensitivity</t>
    <phoneticPr fontId="1" type="noConversion"/>
  </si>
  <si>
    <t>Reference Rate (Reference_Rate_pct) Sensitivity</t>
    <phoneticPr fontId="1" type="noConversion"/>
  </si>
  <si>
    <r>
      <t>Δ</t>
    </r>
    <r>
      <rPr>
        <b/>
        <sz val="11"/>
        <color theme="1"/>
        <rFont val="宋体"/>
        <family val="2"/>
        <charset val="134"/>
      </rPr>
      <t>AFFO</t>
    </r>
    <r>
      <rPr>
        <b/>
        <sz val="11"/>
        <color theme="1"/>
        <rFont val="Calibri"/>
        <family val="2"/>
      </rPr>
      <t xml:space="preserve"> vs Base</t>
    </r>
    <phoneticPr fontId="1" type="noConversion"/>
  </si>
  <si>
    <t>Upside</t>
  </si>
  <si>
    <t>Downside</t>
  </si>
  <si>
    <t>Occupied_</t>
  </si>
  <si>
    <t>FreeRent_</t>
  </si>
  <si>
    <t>Rent_psf_pa_</t>
  </si>
  <si>
    <t>Base_Rent_</t>
  </si>
  <si>
    <t>Expense_psf_pa_</t>
  </si>
  <si>
    <t>OpEx_</t>
  </si>
  <si>
    <t>Recoveries_</t>
  </si>
  <si>
    <t>Bad_Debt_</t>
  </si>
  <si>
    <t>NOI_pre_Amort_</t>
  </si>
  <si>
    <t>TI_Amort_</t>
  </si>
  <si>
    <t>LC_Amort_</t>
  </si>
  <si>
    <t>NOI_</t>
  </si>
  <si>
    <t>Interest_Expense_</t>
  </si>
  <si>
    <t>AFFO_</t>
  </si>
  <si>
    <t>Δ vs Base (NOI_pre_Amort)</t>
    <phoneticPr fontId="1" type="noConversion"/>
  </si>
  <si>
    <t>Δ % (NOI_pre_Amort)</t>
    <phoneticPr fontId="1" type="noConversion"/>
  </si>
  <si>
    <t>YEAR</t>
    <phoneticPr fontId="1" type="noConversion"/>
  </si>
  <si>
    <t>Δ vs Base (AFFO)</t>
    <phoneticPr fontId="1" type="noConversion"/>
  </si>
  <si>
    <t>Δ % (AFFO)</t>
    <phoneticPr fontId="1" type="noConversion"/>
  </si>
  <si>
    <t>Base Total</t>
  </si>
  <si>
    <t>Upside Total</t>
  </si>
  <si>
    <t>Downside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</si>
</sst>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76" formatCode="yyyy\-mm\-dd"/>
    <numFmt numFmtId="177" formatCode="#,##0_ "/>
    <numFmt numFmtId="178" formatCode="#,##0.00_);[Red]\(#,##0.00\)"/>
    <numFmt numFmtId="179" formatCode="0.0%"/>
    <numFmt numFmtId="180" formatCode="#,##0_);[Red]\(#,##0\)"/>
    <numFmt numFmtId="181" formatCode="_ * #,##0_ ;_ * \-#,##0_ ;_ * &quot;-&quot;??_ ;_ @_ "/>
    <numFmt numFmtId="182" formatCode="0_);[Red]\(0\)"/>
  </numFmts>
  <fonts count="16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宋体"/>
      <family val="2"/>
    </font>
    <font>
      <sz val="11"/>
      <color theme="1"/>
      <name val="宋体"/>
      <family val="2"/>
    </font>
    <font>
      <b/>
      <sz val="11"/>
      <color theme="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宋体"/>
      <family val="2"/>
      <scheme val="minor"/>
    </font>
    <font>
      <i/>
      <sz val="11"/>
      <color rgb="FF555555"/>
      <name val="Calibri"/>
      <family val="2"/>
    </font>
    <font>
      <b/>
      <sz val="11"/>
      <color rgb="FFFFFFFF"/>
      <name val="Calibri"/>
      <family val="2"/>
    </font>
    <font>
      <sz val="11"/>
      <color theme="1"/>
      <name val="宋体"/>
      <family val="3"/>
      <charset val="134"/>
    </font>
    <font>
      <sz val="10"/>
      <color theme="1"/>
      <name val="Calibri"/>
      <family val="2"/>
    </font>
    <font>
      <sz val="11"/>
      <color theme="1"/>
      <name val="Calibri"/>
      <family val="3"/>
    </font>
    <font>
      <b/>
      <sz val="11"/>
      <color theme="1"/>
      <name val="宋体"/>
      <family val="2"/>
      <charset val="134"/>
    </font>
  </fonts>
  <fills count="14">
    <fill>
      <patternFill patternType="none"/>
    </fill>
    <fill>
      <patternFill patternType="gray125"/>
    </fill>
    <fill>
      <patternFill patternType="solid">
        <fgColor rgb="FFEEECE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0" fontId="0" fillId="0" borderId="0"/>
    <xf numFmtId="9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</cellStyleXfs>
  <cellXfs count="87">
    <xf numFmtId="0" fontId="0" fillId="0" borderId="0" xfId="0"/>
    <xf numFmtId="0" fontId="3" fillId="0" borderId="0" xfId="0" applyFont="1"/>
    <xf numFmtId="176" fontId="3" fillId="0" borderId="0" xfId="0" applyNumberFormat="1" applyFont="1"/>
    <xf numFmtId="0" fontId="2" fillId="2" borderId="1" xfId="0" applyFont="1" applyFill="1" applyBorder="1"/>
    <xf numFmtId="0" fontId="3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7" fillId="2" borderId="1" xfId="0" applyFont="1" applyFill="1" applyBorder="1"/>
    <xf numFmtId="0" fontId="8" fillId="0" borderId="0" xfId="0" applyFont="1"/>
    <xf numFmtId="176" fontId="8" fillId="0" borderId="0" xfId="0" applyNumberFormat="1" applyFont="1"/>
    <xf numFmtId="0" fontId="2" fillId="0" borderId="0" xfId="0" applyFont="1"/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/>
    <xf numFmtId="3" fontId="6" fillId="6" borderId="1" xfId="0" applyNumberFormat="1" applyFont="1" applyFill="1" applyBorder="1"/>
    <xf numFmtId="4" fontId="6" fillId="6" borderId="1" xfId="0" applyNumberFormat="1" applyFont="1" applyFill="1" applyBorder="1"/>
    <xf numFmtId="178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6" fillId="7" borderId="1" xfId="0" applyFont="1" applyFill="1" applyBorder="1" applyAlignment="1">
      <alignment horizontal="center"/>
    </xf>
    <xf numFmtId="0" fontId="10" fillId="0" borderId="0" xfId="0" applyFont="1"/>
    <xf numFmtId="10" fontId="3" fillId="0" borderId="0" xfId="1" applyNumberFormat="1" applyFont="1" applyAlignment="1"/>
    <xf numFmtId="179" fontId="3" fillId="0" borderId="0" xfId="1" applyNumberFormat="1" applyFont="1" applyAlignment="1"/>
    <xf numFmtId="0" fontId="11" fillId="8" borderId="1" xfId="0" applyFont="1" applyFill="1" applyBorder="1" applyAlignment="1">
      <alignment wrapText="1"/>
    </xf>
    <xf numFmtId="0" fontId="3" fillId="5" borderId="1" xfId="0" applyFont="1" applyFill="1" applyBorder="1"/>
    <xf numFmtId="176" fontId="3" fillId="0" borderId="1" xfId="0" applyNumberFormat="1" applyFont="1" applyBorder="1"/>
    <xf numFmtId="10" fontId="3" fillId="5" borderId="1" xfId="0" applyNumberFormat="1" applyFont="1" applyFill="1" applyBorder="1"/>
    <xf numFmtId="10" fontId="3" fillId="4" borderId="1" xfId="0" applyNumberFormat="1" applyFont="1" applyFill="1" applyBorder="1"/>
    <xf numFmtId="10" fontId="3" fillId="3" borderId="1" xfId="0" applyNumberFormat="1" applyFont="1" applyFill="1" applyBorder="1"/>
    <xf numFmtId="0" fontId="2" fillId="5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2" fillId="9" borderId="1" xfId="0" applyFont="1" applyFill="1" applyBorder="1"/>
    <xf numFmtId="177" fontId="3" fillId="0" borderId="1" xfId="0" applyNumberFormat="1" applyFont="1" applyBorder="1"/>
    <xf numFmtId="10" fontId="3" fillId="0" borderId="1" xfId="0" applyNumberFormat="1" applyFont="1" applyBorder="1"/>
    <xf numFmtId="0" fontId="6" fillId="10" borderId="1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11" fillId="8" borderId="1" xfId="0" applyFont="1" applyFill="1" applyBorder="1" applyAlignment="1">
      <alignment horizontal="center" vertical="center" wrapText="1"/>
    </xf>
    <xf numFmtId="180" fontId="3" fillId="0" borderId="0" xfId="0" applyNumberFormat="1" applyFont="1"/>
    <xf numFmtId="0" fontId="3" fillId="0" borderId="0" xfId="0" applyFont="1" applyAlignment="1">
      <alignment horizontal="center" wrapText="1"/>
    </xf>
    <xf numFmtId="0" fontId="2" fillId="11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180" fontId="0" fillId="0" borderId="0" xfId="0" applyNumberFormat="1"/>
    <xf numFmtId="14" fontId="3" fillId="0" borderId="0" xfId="0" applyNumberFormat="1" applyFont="1"/>
    <xf numFmtId="9" fontId="3" fillId="0" borderId="0" xfId="1" applyFont="1" applyAlignment="1"/>
    <xf numFmtId="3" fontId="3" fillId="0" borderId="0" xfId="0" applyNumberFormat="1" applyFont="1"/>
    <xf numFmtId="181" fontId="3" fillId="0" borderId="0" xfId="2" applyNumberFormat="1" applyFont="1" applyAlignment="1"/>
    <xf numFmtId="180" fontId="3" fillId="0" borderId="0" xfId="2" applyNumberFormat="1" applyFont="1" applyAlignment="1"/>
    <xf numFmtId="10" fontId="11" fillId="8" borderId="1" xfId="1" applyNumberFormat="1" applyFont="1" applyFill="1" applyBorder="1" applyAlignment="1">
      <alignment wrapText="1"/>
    </xf>
    <xf numFmtId="182" fontId="11" fillId="8" borderId="1" xfId="1" applyNumberFormat="1" applyFont="1" applyFill="1" applyBorder="1" applyAlignment="1">
      <alignment wrapText="1"/>
    </xf>
    <xf numFmtId="181" fontId="0" fillId="0" borderId="0" xfId="0" applyNumberFormat="1"/>
    <xf numFmtId="10" fontId="3" fillId="0" borderId="1" xfId="1" applyNumberFormat="1" applyFont="1" applyBorder="1" applyAlignment="1"/>
    <xf numFmtId="0" fontId="3" fillId="12" borderId="0" xfId="0" applyFont="1" applyFill="1"/>
    <xf numFmtId="180" fontId="3" fillId="12" borderId="0" xfId="0" applyNumberFormat="1" applyFont="1" applyFill="1"/>
    <xf numFmtId="0" fontId="11" fillId="8" borderId="5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78" fontId="3" fillId="12" borderId="0" xfId="0" applyNumberFormat="1" applyFont="1" applyFill="1"/>
    <xf numFmtId="10" fontId="3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1" xfId="0" applyFont="1" applyFill="1" applyBorder="1"/>
    <xf numFmtId="3" fontId="3" fillId="3" borderId="1" xfId="0" applyNumberFormat="1" applyFont="1" applyFill="1" applyBorder="1"/>
    <xf numFmtId="0" fontId="3" fillId="0" borderId="1" xfId="0" applyFont="1" applyBorder="1" applyAlignment="1">
      <alignment horizontal="center" vertical="center"/>
    </xf>
    <xf numFmtId="180" fontId="3" fillId="0" borderId="1" xfId="0" applyNumberFormat="1" applyFont="1" applyBorder="1"/>
    <xf numFmtId="9" fontId="3" fillId="0" borderId="1" xfId="1" applyFont="1" applyBorder="1" applyAlignment="1"/>
    <xf numFmtId="178" fontId="3" fillId="0" borderId="1" xfId="0" applyNumberFormat="1" applyFont="1" applyBorder="1"/>
    <xf numFmtId="0" fontId="11" fillId="13" borderId="7" xfId="0" applyFont="1" applyFill="1" applyBorder="1" applyAlignment="1">
      <alignment horizontal="center" vertical="center" wrapText="1"/>
    </xf>
    <xf numFmtId="0" fontId="11" fillId="13" borderId="6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3">
    <cellStyle name="百分比" xfId="1" builtinId="5"/>
    <cellStyle name="常规" xfId="0" builtinId="0"/>
    <cellStyle name="千位分隔" xfId="2" builtinId="3"/>
  </cellStyles>
  <dxfs count="15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6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6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6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alignment horizontal="center"/>
    </dxf>
    <dxf>
      <alignment vertical="center"/>
    </dxf>
    <dxf>
      <numFmt numFmtId="180" formatCode="#,##0_);[Red]\(#,##0\)"/>
    </dxf>
    <dxf>
      <numFmt numFmtId="180" formatCode="#,##0_);[Red]\(#,##0\)"/>
    </dxf>
    <dxf>
      <numFmt numFmtId="180" formatCode="#,##0_);[Red]\(#,##0\)"/>
    </dxf>
    <dxf>
      <numFmt numFmtId="180" formatCode="#,##0_);[Red]\(#,##0\)"/>
    </dxf>
    <dxf>
      <numFmt numFmtId="180" formatCode="#,##0_);[Red]\(#,##0\)"/>
    </dxf>
    <dxf>
      <numFmt numFmtId="180" formatCode="#,##0_);[Red]\(#,##0\)"/>
    </dxf>
    <dxf>
      <numFmt numFmtId="180" formatCode="#,##0_);[Red]\(#,##0\)"/>
    </dxf>
    <dxf>
      <numFmt numFmtId="180" formatCode="#,##0_);[Red]\(#,##0\)"/>
    </dxf>
    <dxf>
      <numFmt numFmtId="180" formatCode="#,##0_);[Red]\(#,##0\)"/>
    </dxf>
    <dxf>
      <numFmt numFmtId="178" formatCode="#,##0.00_);[Red]\(#,##0.00\)"/>
    </dxf>
    <dxf>
      <numFmt numFmtId="180" formatCode="#,##0_);[Red]\(#,##0\)"/>
    </dxf>
    <dxf>
      <numFmt numFmtId="178" formatCode="#,##0.00_);[Red]\(#,##0.00\)"/>
    </dxf>
    <dxf>
      <alignment wrapText="1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ill>
        <patternFill patternType="solid">
          <bgColor theme="4" tint="0.79998168889431442"/>
        </patternFill>
      </fill>
    </dxf>
    <dxf>
      <alignment horizontal="center"/>
    </dxf>
    <dxf>
      <alignment vertical="center"/>
    </dxf>
    <dxf>
      <numFmt numFmtId="180" formatCode="#,##0_);[Red]\(#,##0\)"/>
    </dxf>
    <dxf>
      <numFmt numFmtId="180" formatCode="#,##0_);[Red]\(#,##0\)"/>
    </dxf>
    <dxf>
      <numFmt numFmtId="180" formatCode="#,##0_);[Red]\(#,##0\)"/>
    </dxf>
    <dxf>
      <numFmt numFmtId="180" formatCode="#,##0_);[Red]\(#,##0\)"/>
    </dxf>
    <dxf>
      <numFmt numFmtId="180" formatCode="#,##0_);[Red]\(#,##0\)"/>
    </dxf>
    <dxf>
      <numFmt numFmtId="180" formatCode="#,##0_);[Red]\(#,##0\)"/>
    </dxf>
    <dxf>
      <numFmt numFmtId="180" formatCode="#,##0_);[Red]\(#,##0\)"/>
    </dxf>
    <dxf>
      <numFmt numFmtId="180" formatCode="#,##0_);[Red]\(#,##0\)"/>
    </dxf>
    <dxf>
      <numFmt numFmtId="180" formatCode="#,##0_);[Red]\(#,##0\)"/>
    </dxf>
    <dxf>
      <numFmt numFmtId="178" formatCode="#,##0.00_);[Red]\(#,##0.00\)"/>
    </dxf>
    <dxf>
      <numFmt numFmtId="180" formatCode="#,##0_);[Red]\(#,##0\)"/>
    </dxf>
    <dxf>
      <numFmt numFmtId="178" formatCode="#,##0.00_);[Red]\(#,##0.00\)"/>
    </dxf>
    <dxf>
      <alignment wrapText="1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ill>
        <patternFill patternType="solid">
          <bgColor theme="4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Tornado - Sens_RG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Sens_RG!$D$4</c:f>
              <c:strCache>
                <c:ptCount val="1"/>
                <c:pt idx="0">
                  <c:v>ΔNOI vs Base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Sens_RG!$A$5:$A$10</c:f>
              <c:numCache>
                <c:formatCode>0.00%</c:formatCode>
                <c:ptCount val="6"/>
                <c:pt idx="0">
                  <c:v>0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</c:numCache>
            </c:numRef>
          </c:cat>
          <c:val>
            <c:numRef>
              <c:f>Sens_RG!$D$5:$D$10</c:f>
              <c:numCache>
                <c:formatCode>#,##0_);[Red]\(#,##0\)</c:formatCode>
                <c:ptCount val="6"/>
                <c:pt idx="0">
                  <c:v>-6668.1919077037601</c:v>
                </c:pt>
                <c:pt idx="1">
                  <c:v>-2215.043244605884</c:v>
                </c:pt>
                <c:pt idx="2">
                  <c:v>0</c:v>
                </c:pt>
                <c:pt idx="3">
                  <c:v>2207.5032125668367</c:v>
                </c:pt>
                <c:pt idx="4">
                  <c:v>4407.5735821084818</c:v>
                </c:pt>
                <c:pt idx="5">
                  <c:v>6600.3157405089587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2B-4240-BC95-05C15AF3B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0"/>
        <c:ser>
          <c:idx val="1"/>
          <c:order val="1"/>
          <c:tx>
            <c:strRef>
              <c:f>Sens_RG!$E$4</c:f>
              <c:strCache>
                <c:ptCount val="1"/>
                <c:pt idx="0">
                  <c:v>Δ% vs Base</c:v>
                </c:pt>
              </c:strCache>
            </c:strRef>
          </c:tx>
          <c:marker>
            <c:symbol val="none"/>
          </c:marker>
          <c:cat>
            <c:numRef>
              <c:f>Sens_RG!$A$5:$A$10</c:f>
              <c:numCache>
                <c:formatCode>0.00%</c:formatCode>
                <c:ptCount val="6"/>
                <c:pt idx="0">
                  <c:v>0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</c:numCache>
            </c:numRef>
          </c:cat>
          <c:val>
            <c:numRef>
              <c:f>Sens_RG!$E$5:$E$10</c:f>
              <c:numCache>
                <c:formatCode>0.00%</c:formatCode>
                <c:ptCount val="6"/>
                <c:pt idx="0">
                  <c:v>-1.7274953408156768E-2</c:v>
                </c:pt>
                <c:pt idx="1">
                  <c:v>-5.7384024601049299E-3</c:v>
                </c:pt>
                <c:pt idx="2">
                  <c:v>0</c:v>
                </c:pt>
                <c:pt idx="3">
                  <c:v>5.7188688737934701E-3</c:v>
                </c:pt>
                <c:pt idx="4">
                  <c:v>1.1418481850527185E-2</c:v>
                </c:pt>
                <c:pt idx="5">
                  <c:v>1.7099109994823225E-2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2B-4240-BC95-05C15AF3B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2319824"/>
        <c:axId val="952313104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Candidate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low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l-GR"/>
                  <a:t>Δ </a:t>
                </a:r>
                <a:r>
                  <a:rPr lang="en-US"/>
                  <a:t>vs Base</a:t>
                </a:r>
              </a:p>
            </c:rich>
          </c:tx>
          <c:overlay val="0"/>
        </c:title>
        <c:numFmt formatCode="#,##0_);[Red]\(#,##0\)" sourceLinked="1"/>
        <c:majorTickMark val="none"/>
        <c:minorTickMark val="none"/>
        <c:tickLblPos val="nextTo"/>
        <c:crossAx val="10"/>
        <c:crosses val="autoZero"/>
        <c:crossBetween val="between"/>
      </c:valAx>
      <c:valAx>
        <c:axId val="95231310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952319824"/>
        <c:crosses val="max"/>
        <c:crossBetween val="between"/>
      </c:valAx>
      <c:catAx>
        <c:axId val="952319824"/>
        <c:scaling>
          <c:orientation val="minMax"/>
        </c:scaling>
        <c:delete val="1"/>
        <c:axPos val="b"/>
        <c:numFmt formatCode="0.00%" sourceLinked="1"/>
        <c:majorTickMark val="out"/>
        <c:minorTickMark val="none"/>
        <c:tickLblPos val="nextTo"/>
        <c:crossAx val="95231310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Tornado - Sens_DT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Sens_DT!$D$4</c:f>
              <c:strCache>
                <c:ptCount val="1"/>
                <c:pt idx="0">
                  <c:v>ΔNOI vs Base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Sens_DT!$A$5:$A$8</c15:sqref>
                  </c15:fullRef>
                </c:ext>
              </c:extLst>
              <c:f>Sens_DT!$A$5:$A$8</c:f>
              <c:numCache>
                <c:formatCode>0_);[Red]\(0\)</c:formatCode>
                <c:ptCount val="4"/>
                <c:pt idx="0" formatCode="General">
                  <c:v>0</c:v>
                </c:pt>
                <c:pt idx="1">
                  <c:v>1</c:v>
                </c:pt>
                <c:pt idx="2" formatCode="General">
                  <c:v>2</c:v>
                </c:pt>
                <c:pt idx="3" formatCode="General">
                  <c:v>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Sens_DT!$D$5:$D$10</c15:sqref>
                  </c15:fullRef>
                </c:ext>
              </c:extLst>
              <c:f>Sens_DT!$D$5:$D$8</c:f>
              <c:numCache>
                <c:formatCode>#,##0_);[Red]\(#,##0\)</c:formatCode>
                <c:ptCount val="4"/>
                <c:pt idx="0">
                  <c:v>49271.733628107584</c:v>
                </c:pt>
                <c:pt idx="1">
                  <c:v>0</c:v>
                </c:pt>
                <c:pt idx="2">
                  <c:v>-49390.032062043902</c:v>
                </c:pt>
                <c:pt idx="3">
                  <c:v>-98898.647683359333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B1-46C0-B012-5A7D0A45A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0"/>
        <c:ser>
          <c:idx val="1"/>
          <c:order val="1"/>
          <c:tx>
            <c:strRef>
              <c:f>Sens_DT!$E$4</c:f>
              <c:strCache>
                <c:ptCount val="1"/>
                <c:pt idx="0">
                  <c:v>Δ% vs Base</c:v>
                </c:pt>
              </c:strCache>
            </c:strRef>
          </c:tx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Sens_DT!$A$5:$A$10</c15:sqref>
                  </c15:fullRef>
                </c:ext>
              </c:extLst>
              <c:f>Sens_DT!$A$5:$A$8</c:f>
              <c:numCache>
                <c:formatCode>0_);[Red]\(0\)</c:formatCode>
                <c:ptCount val="4"/>
                <c:pt idx="0" formatCode="General">
                  <c:v>0</c:v>
                </c:pt>
                <c:pt idx="1">
                  <c:v>1</c:v>
                </c:pt>
                <c:pt idx="2" formatCode="General">
                  <c:v>2</c:v>
                </c:pt>
                <c:pt idx="3" formatCode="General">
                  <c:v>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Sens_DT!$E$5:$E$10</c15:sqref>
                  </c15:fullRef>
                </c:ext>
              </c:extLst>
              <c:f>Sens_DT!$E$5:$E$8</c:f>
              <c:numCache>
                <c:formatCode>0.0%</c:formatCode>
                <c:ptCount val="4"/>
                <c:pt idx="0">
                  <c:v>0.12764583181556599</c:v>
                </c:pt>
                <c:pt idx="1">
                  <c:v>0</c:v>
                </c:pt>
                <c:pt idx="2">
                  <c:v>-0.12795230168967786</c:v>
                </c:pt>
                <c:pt idx="3">
                  <c:v>-0.25621181191350462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B1-46C0-B012-5A7D0A45A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2319824"/>
        <c:axId val="952313104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Candidate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  <c:min val="-1000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l-GR"/>
                  <a:t>Δ </a:t>
                </a:r>
                <a:r>
                  <a:rPr lang="en-US"/>
                  <a:t>vs Base</a:t>
                </a:r>
              </a:p>
            </c:rich>
          </c:tx>
          <c:overlay val="0"/>
        </c:title>
        <c:numFmt formatCode="#,##0_);[Red]\(#,##0\)" sourceLinked="1"/>
        <c:majorTickMark val="none"/>
        <c:minorTickMark val="none"/>
        <c:tickLblPos val="nextTo"/>
        <c:crossAx val="10"/>
        <c:crosses val="autoZero"/>
        <c:crossBetween val="between"/>
      </c:valAx>
      <c:valAx>
        <c:axId val="952313104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crossAx val="952319824"/>
        <c:crosses val="max"/>
        <c:crossBetween val="between"/>
      </c:valAx>
      <c:catAx>
        <c:axId val="9523198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5231310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Tornado - Sens_EG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Sens_EG!$D$4</c:f>
              <c:strCache>
                <c:ptCount val="1"/>
                <c:pt idx="0">
                  <c:v>ΔNOI vs Base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Sens_EG!$A$5:$A$7</c15:sqref>
                  </c15:fullRef>
                </c:ext>
              </c:extLst>
              <c:f>Sens_EG!$A$5:$A$7</c:f>
              <c:numCache>
                <c:formatCode>0.00%</c:formatCode>
                <c:ptCount val="3"/>
                <c:pt idx="0">
                  <c:v>1.4999999999999999E-2</c:v>
                </c:pt>
                <c:pt idx="1">
                  <c:v>2.5000000000000001E-2</c:v>
                </c:pt>
                <c:pt idx="2">
                  <c:v>3.5000000000000003E-2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Sens_EG!$D$5:$D$7</c15:sqref>
                  </c15:fullRef>
                </c:ext>
              </c:extLst>
              <c:f>Sens_EG!$D$5:$D$7</c:f>
              <c:numCache>
                <c:formatCode>#,##0_);[Red]\(#,##0\)</c:formatCode>
                <c:ptCount val="3"/>
                <c:pt idx="0">
                  <c:v>113.58621109725209</c:v>
                </c:pt>
                <c:pt idx="1">
                  <c:v>0</c:v>
                </c:pt>
                <c:pt idx="2">
                  <c:v>-113.18810339196352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06-4B44-8C21-5A605DF32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0"/>
        <c:ser>
          <c:idx val="1"/>
          <c:order val="1"/>
          <c:tx>
            <c:strRef>
              <c:f>Sens_EG!$E$4</c:f>
              <c:strCache>
                <c:ptCount val="1"/>
                <c:pt idx="0">
                  <c:v>Δ% vs Base</c:v>
                </c:pt>
              </c:strCache>
            </c:strRef>
          </c:tx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Sens_EG!$A$5:$A$10</c15:sqref>
                  </c15:fullRef>
                </c:ext>
              </c:extLst>
              <c:f>Sens_EG!$A$5:$A$8</c:f>
              <c:numCache>
                <c:formatCode>0.00%</c:formatCode>
                <c:ptCount val="4"/>
                <c:pt idx="0">
                  <c:v>1.4999999999999999E-2</c:v>
                </c:pt>
                <c:pt idx="1">
                  <c:v>2.5000000000000001E-2</c:v>
                </c:pt>
                <c:pt idx="2">
                  <c:v>3.5000000000000003E-2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Sens_EG!$E$5:$E$10</c15:sqref>
                  </c15:fullRef>
                </c:ext>
              </c:extLst>
              <c:f>Sens_EG!$E$5:$E$8</c:f>
              <c:numCache>
                <c:formatCode>0.00%</c:formatCode>
                <c:ptCount val="4"/>
                <c:pt idx="0">
                  <c:v>2.9426215257055688E-4</c:v>
                </c:pt>
                <c:pt idx="1">
                  <c:v>0</c:v>
                </c:pt>
                <c:pt idx="2">
                  <c:v>-2.9323079472187707E-4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06-4B44-8C21-5A605DF32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2319824"/>
        <c:axId val="952313104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Candidate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low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  <c:max val="200"/>
          <c:min val="-2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l-GR"/>
                  <a:t>Δ </a:t>
                </a:r>
                <a:r>
                  <a:rPr lang="en-US"/>
                  <a:t>vs Base</a:t>
                </a:r>
              </a:p>
            </c:rich>
          </c:tx>
          <c:overlay val="0"/>
        </c:title>
        <c:numFmt formatCode="#,##0_);[Red]\(#,##0\)" sourceLinked="1"/>
        <c:majorTickMark val="none"/>
        <c:minorTickMark val="none"/>
        <c:tickLblPos val="nextTo"/>
        <c:crossAx val="10"/>
        <c:crosses val="autoZero"/>
        <c:crossBetween val="between"/>
        <c:majorUnit val="50"/>
      </c:valAx>
      <c:valAx>
        <c:axId val="95231310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952319824"/>
        <c:crosses val="max"/>
        <c:crossBetween val="between"/>
      </c:valAx>
      <c:catAx>
        <c:axId val="952319824"/>
        <c:scaling>
          <c:orientation val="minMax"/>
        </c:scaling>
        <c:delete val="1"/>
        <c:axPos val="b"/>
        <c:numFmt formatCode="0.00%" sourceLinked="1"/>
        <c:majorTickMark val="out"/>
        <c:minorTickMark val="none"/>
        <c:tickLblPos val="nextTo"/>
        <c:crossAx val="95231310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Tornado - Sens_RR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Sens_RR!$F$4</c:f>
              <c:strCache>
                <c:ptCount val="1"/>
                <c:pt idx="0">
                  <c:v>ΔAFFO vs Base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Sens_RR!$A$5:$A$9</c15:sqref>
                  </c15:fullRef>
                </c:ext>
              </c:extLst>
              <c:f>Sens_RR!$A$5:$A$9</c:f>
              <c:numCache>
                <c:formatCode>0.00%</c:formatCode>
                <c:ptCount val="5"/>
                <c:pt idx="0">
                  <c:v>0.03</c:v>
                </c:pt>
                <c:pt idx="1">
                  <c:v>0.04</c:v>
                </c:pt>
                <c:pt idx="2">
                  <c:v>0.05</c:v>
                </c:pt>
                <c:pt idx="3">
                  <c:v>0.06</c:v>
                </c:pt>
                <c:pt idx="4">
                  <c:v>7.0000000000000007E-2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Sens_RR!$F$5:$F$9</c15:sqref>
                  </c15:fullRef>
                </c:ext>
              </c:extLst>
              <c:f>Sens_RR!$F$5:$F$9</c:f>
              <c:numCache>
                <c:formatCode>#,##0_);[Red]\(#,##0\)</c:formatCode>
                <c:ptCount val="5"/>
                <c:pt idx="0">
                  <c:v>50000.000000000029</c:v>
                </c:pt>
                <c:pt idx="1">
                  <c:v>25000.00000000004</c:v>
                </c:pt>
                <c:pt idx="2">
                  <c:v>0</c:v>
                </c:pt>
                <c:pt idx="3">
                  <c:v>-24999.999999999982</c:v>
                </c:pt>
                <c:pt idx="4">
                  <c:v>-50000.000000000058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3A-4797-819A-BA0C49BDD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0"/>
        <c:ser>
          <c:idx val="1"/>
          <c:order val="1"/>
          <c:tx>
            <c:strRef>
              <c:f>Sens_RR!$G$4</c:f>
              <c:strCache>
                <c:ptCount val="1"/>
                <c:pt idx="0">
                  <c:v>Δ% vs Base</c:v>
                </c:pt>
              </c:strCache>
            </c:strRef>
          </c:tx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Sens_RR!$A$5:$A$10</c15:sqref>
                  </c15:fullRef>
                </c:ext>
              </c:extLst>
              <c:f>Sens_RR!$A$5:$A$9</c:f>
              <c:numCache>
                <c:formatCode>0.00%</c:formatCode>
                <c:ptCount val="5"/>
                <c:pt idx="0">
                  <c:v>0.03</c:v>
                </c:pt>
                <c:pt idx="1">
                  <c:v>0.04</c:v>
                </c:pt>
                <c:pt idx="2">
                  <c:v>0.05</c:v>
                </c:pt>
                <c:pt idx="3">
                  <c:v>0.06</c:v>
                </c:pt>
                <c:pt idx="4">
                  <c:v>7.0000000000000007E-2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Sens_RR!$G$5:$G$9</c15:sqref>
                  </c15:fullRef>
                </c:ext>
              </c:extLst>
              <c:f>Sens_RR!$G$5:$G$9</c:f>
              <c:numCache>
                <c:formatCode>0%</c:formatCode>
                <c:ptCount val="5"/>
                <c:pt idx="0">
                  <c:v>1.7082660860390022</c:v>
                </c:pt>
                <c:pt idx="1">
                  <c:v>0.85413304301950221</c:v>
                </c:pt>
                <c:pt idx="2">
                  <c:v>0</c:v>
                </c:pt>
                <c:pt idx="3">
                  <c:v>-0.85413304301950022</c:v>
                </c:pt>
                <c:pt idx="4">
                  <c:v>-1.7082660860390035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3A-4797-819A-BA0C49BDD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2319824"/>
        <c:axId val="952313104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Candidate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low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l-GR"/>
                  <a:t>Δ </a:t>
                </a:r>
                <a:r>
                  <a:rPr lang="en-US"/>
                  <a:t>vs Base</a:t>
                </a:r>
              </a:p>
            </c:rich>
          </c:tx>
          <c:overlay val="0"/>
        </c:title>
        <c:numFmt formatCode="#,##0_);[Red]\(#,##0\)" sourceLinked="1"/>
        <c:majorTickMark val="none"/>
        <c:minorTickMark val="none"/>
        <c:tickLblPos val="nextTo"/>
        <c:crossAx val="10"/>
        <c:crosses val="autoZero"/>
        <c:crossBetween val="between"/>
      </c:valAx>
      <c:valAx>
        <c:axId val="95231310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crossAx val="952319824"/>
        <c:crosses val="max"/>
        <c:crossBetween val="between"/>
      </c:valAx>
      <c:catAx>
        <c:axId val="952319824"/>
        <c:scaling>
          <c:orientation val="minMax"/>
        </c:scaling>
        <c:delete val="1"/>
        <c:axPos val="b"/>
        <c:numFmt formatCode="0.00%" sourceLinked="1"/>
        <c:majorTickMark val="out"/>
        <c:minorTickMark val="none"/>
        <c:tickLblPos val="nextTo"/>
        <c:crossAx val="95231310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193581</xdr:colOff>
      <xdr:row>1</xdr:row>
      <xdr:rowOff>93569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5AFE96-7D13-4441-9DB3-03147D5576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457761</xdr:colOff>
      <xdr:row>1</xdr:row>
      <xdr:rowOff>16808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37339F-8187-413C-8F64-774F187EB7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637053</xdr:colOff>
      <xdr:row>0</xdr:row>
      <xdr:rowOff>33618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318589-78A7-47F0-B003-A0C96DB8D0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188819</xdr:colOff>
      <xdr:row>0</xdr:row>
      <xdr:rowOff>156883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2EBCD8-0CED-476A-817F-F5A4A5C331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67.416298263888" backgroundQuery="1" createdVersion="8" refreshedVersion="8" minRefreshableVersion="3" recordCount="36" xr:uid="{9248ED7E-2C7C-4B34-9936-CE1C08ACBEA8}">
  <cacheSource type="external" connectionId="5"/>
  <cacheFields count="20">
    <cacheField name="Scenario Selection" numFmtId="0">
      <sharedItems count="3">
        <s v="Base"/>
        <s v="Upside"/>
        <s v="Downside"/>
      </sharedItems>
    </cacheField>
    <cacheField name="Month_Index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Month_Start" numFmtId="0">
      <sharedItems containsSemiMixedTypes="0" containsNonDate="0" containsDate="1" containsString="0" minDate="2025-01-01T00:00:00" maxDate="2025-12-02T00:00:00" count="12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  <fieldGroup par="19"/>
    </cacheField>
    <cacheField name="Occupied" numFmtId="0">
      <sharedItems containsSemiMixedTypes="0" containsString="0" containsNumber="1" containsInteger="1" minValue="0" maxValue="1" count="2">
        <n v="0"/>
        <n v="1"/>
      </sharedItems>
    </cacheField>
    <cacheField name="FreeRent" numFmtId="0">
      <sharedItems containsSemiMixedTypes="0" containsString="0" containsNumber="1" containsInteger="1" minValue="0" maxValue="1" count="2">
        <n v="0"/>
        <n v="1"/>
      </sharedItems>
    </cacheField>
    <cacheField name="Rent_psf_pa" numFmtId="0">
      <sharedItems containsSemiMixedTypes="0" containsString="0" containsNumber="1" minValue="50" maxValue="52.286976385931027" count="23">
        <n v="50"/>
        <n v="50.123313488615182"/>
        <n v="50.246931101559845"/>
        <n v="50.370853588886646"/>
        <n v="50.495081702498048"/>
        <n v="50.619616196150915"/>
        <n v="50.744457825461097"/>
        <n v="50.869607347907966"/>
        <n v="50.99506552283907"/>
        <n v="51.120833111474681"/>
        <n v="51.246910876912487"/>
        <n v="51.373299584132162"/>
        <n v="50.203706189182419"/>
        <n v="50.408242302595049"/>
        <n v="50.613611721451967"/>
        <n v="50.819817840742672"/>
        <n v="51.026864069288315"/>
        <n v="51.234753829797995"/>
        <n v="51.44349055892534"/>
        <n v="51.653077707325345"/>
        <n v="51.863518739711388"/>
        <n v="52.074817134912543"/>
        <n v="52.286976385931027"/>
      </sharedItems>
    </cacheField>
    <cacheField name="Base_Rent" numFmtId="0">
      <sharedItems containsSemiMixedTypes="0" containsString="0" containsNumber="1" minValue="0" maxValue="43572.48032160919" count="22">
        <n v="0"/>
        <n v="41872.442584633209"/>
        <n v="41975.711324072203"/>
        <n v="42079.234752081706"/>
        <n v="42183.013496792431"/>
        <n v="42287.048187884247"/>
        <n v="42391.339456589973"/>
        <n v="42495.887935699226"/>
        <n v="42600.694259562239"/>
        <n v="42705.759064093741"/>
        <n v="42811.082986776804"/>
        <n v="42006.868585495868"/>
        <n v="42178.00976787664"/>
        <n v="42349.848200618893"/>
        <n v="42522.386724406926"/>
        <n v="42695.628191498326"/>
        <n v="42869.575465771115"/>
        <n v="43044.231422771118"/>
        <n v="43219.598949759493"/>
        <n v="43395.680945760454"/>
        <n v="43572.48032160919"/>
        <n v="41666.666666666672"/>
      </sharedItems>
    </cacheField>
    <cacheField name="Expense_psf_pa" numFmtId="0">
      <sharedItems containsSemiMixedTypes="0" containsString="0" containsNumber="1" minValue="12" maxValue="12.384445511245289"/>
    </cacheField>
    <cacheField name="OpEx" numFmtId="0">
      <sharedItems containsSemiMixedTypes="0" containsString="0" containsNumber="1" minValue="10000" maxValue="10320.371259371075"/>
    </cacheField>
    <cacheField name="Recoveries" numFmtId="0">
      <sharedItems containsSemiMixedTypes="0" containsString="0" containsNumber="1" minValue="0" maxValue="9123.6730719522711"/>
    </cacheField>
    <cacheField name="Bad_Debt" numFmtId="0">
      <sharedItems containsSemiMixedTypes="0" containsString="0" containsNumber="1" minValue="-977.81853096452846" maxValue="0"/>
    </cacheField>
    <cacheField name="NOI_pre_Amort" numFmtId="0">
      <sharedItems containsSemiMixedTypes="0" containsString="0" containsNumber="1" minValue="-10028.708987190766" maxValue="42295.258102202242"/>
    </cacheField>
    <cacheField name="TI_Amort" numFmtId="0">
      <sharedItems containsSemiMixedTypes="0" containsString="0" containsNumber="1" minValue="-3333.3333333333335" maxValue="-3333.3333333333335" count="1">
        <n v="-3333.3333333333335"/>
      </sharedItems>
    </cacheField>
    <cacheField name="LC_Amort" numFmtId="0">
      <sharedItems containsSemiMixedTypes="0" containsString="0" containsNumber="1" minValue="-2048.6111111111113" maxValue="-2048.6111111111113" count="1">
        <n v="-2048.6111111111113"/>
      </sharedItems>
    </cacheField>
    <cacheField name="NOI" numFmtId="0">
      <sharedItems containsSemiMixedTypes="0" containsString="0" containsNumber="1" minValue="-15410.653431635212" maxValue="36913.313657757797"/>
    </cacheField>
    <cacheField name="Interest_Expense" numFmtId="0">
      <sharedItems containsSemiMixedTypes="0" containsString="0" containsNumber="1" minValue="-28125" maxValue="-26041.666666666668" count="2">
        <n v="-26041.666666666668"/>
        <n v="-28125"/>
      </sharedItems>
    </cacheField>
    <cacheField name="AFFO" numFmtId="0">
      <sharedItems containsSemiMixedTypes="0" containsString="0" containsNumber="1" minValue="-43535.653431635212" maxValue="10871.646991091129"/>
    </cacheField>
    <cacheField name="Quarter" numFmtId="0">
      <sharedItems count="4">
        <s v="Q1"/>
        <s v="Q2"/>
        <s v="Q3"/>
        <s v="Q4"/>
      </sharedItems>
    </cacheField>
    <cacheField name="天(Month_Start)" numFmtId="0" databaseField="0">
      <fieldGroup base="2">
        <rangePr groupBy="days" startDate="2025-01-01T00:00:00" endDate="2025-12-02T00:00:00"/>
        <groupItems count="368">
          <s v="&lt;2025/1/1"/>
          <s v="1月1日"/>
          <s v="1月2日"/>
          <s v="1月3日"/>
          <s v="1月4日"/>
          <s v="1月5日"/>
          <s v="1月6日"/>
          <s v="1月7日"/>
          <s v="1月8日"/>
          <s v="1月9日"/>
          <s v="1月10日"/>
          <s v="1月11日"/>
          <s v="1月12日"/>
          <s v="1月13日"/>
          <s v="1月14日"/>
          <s v="1月15日"/>
          <s v="1月16日"/>
          <s v="1月17日"/>
          <s v="1月18日"/>
          <s v="1月19日"/>
          <s v="1月20日"/>
          <s v="1月21日"/>
          <s v="1月22日"/>
          <s v="1月23日"/>
          <s v="1月24日"/>
          <s v="1月25日"/>
          <s v="1月26日"/>
          <s v="1月27日"/>
          <s v="1月28日"/>
          <s v="1月29日"/>
          <s v="1月30日"/>
          <s v="1月31日"/>
          <s v="2月1日"/>
          <s v="2月2日"/>
          <s v="2月3日"/>
          <s v="2月4日"/>
          <s v="2月5日"/>
          <s v="2月6日"/>
          <s v="2月7日"/>
          <s v="2月8日"/>
          <s v="2月9日"/>
          <s v="2月10日"/>
          <s v="2月11日"/>
          <s v="2月12日"/>
          <s v="2月13日"/>
          <s v="2月14日"/>
          <s v="2月15日"/>
          <s v="2月16日"/>
          <s v="2月17日"/>
          <s v="2月18日"/>
          <s v="2月19日"/>
          <s v="2月20日"/>
          <s v="2月21日"/>
          <s v="2月22日"/>
          <s v="2月23日"/>
          <s v="2月24日"/>
          <s v="2月25日"/>
          <s v="2月26日"/>
          <s v="2月27日"/>
          <s v="2月28日"/>
          <s v="2月29日"/>
          <s v="3月1日"/>
          <s v="3月2日"/>
          <s v="3月3日"/>
          <s v="3月4日"/>
          <s v="3月5日"/>
          <s v="3月6日"/>
          <s v="3月7日"/>
          <s v="3月8日"/>
          <s v="3月9日"/>
          <s v="3月10日"/>
          <s v="3月11日"/>
          <s v="3月12日"/>
          <s v="3月13日"/>
          <s v="3月14日"/>
          <s v="3月15日"/>
          <s v="3月16日"/>
          <s v="3月17日"/>
          <s v="3月18日"/>
          <s v="3月19日"/>
          <s v="3月20日"/>
          <s v="3月21日"/>
          <s v="3月22日"/>
          <s v="3月23日"/>
          <s v="3月24日"/>
          <s v="3月25日"/>
          <s v="3月26日"/>
          <s v="3月27日"/>
          <s v="3月28日"/>
          <s v="3月29日"/>
          <s v="3月30日"/>
          <s v="3月31日"/>
          <s v="4月1日"/>
          <s v="4月2日"/>
          <s v="4月3日"/>
          <s v="4月4日"/>
          <s v="4月5日"/>
          <s v="4月6日"/>
          <s v="4月7日"/>
          <s v="4月8日"/>
          <s v="4月9日"/>
          <s v="4月10日"/>
          <s v="4月11日"/>
          <s v="4月12日"/>
          <s v="4月13日"/>
          <s v="4月14日"/>
          <s v="4月15日"/>
          <s v="4月16日"/>
          <s v="4月17日"/>
          <s v="4月18日"/>
          <s v="4月19日"/>
          <s v="4月20日"/>
          <s v="4月21日"/>
          <s v="4月22日"/>
          <s v="4月23日"/>
          <s v="4月24日"/>
          <s v="4月25日"/>
          <s v="4月26日"/>
          <s v="4月27日"/>
          <s v="4月28日"/>
          <s v="4月29日"/>
          <s v="4月30日"/>
          <s v="5月1日"/>
          <s v="5月2日"/>
          <s v="5月3日"/>
          <s v="5月4日"/>
          <s v="5月5日"/>
          <s v="5月6日"/>
          <s v="5月7日"/>
          <s v="5月8日"/>
          <s v="5月9日"/>
          <s v="5月10日"/>
          <s v="5月11日"/>
          <s v="5月12日"/>
          <s v="5月13日"/>
          <s v="5月14日"/>
          <s v="5月15日"/>
          <s v="5月16日"/>
          <s v="5月17日"/>
          <s v="5月18日"/>
          <s v="5月19日"/>
          <s v="5月20日"/>
          <s v="5月21日"/>
          <s v="5月22日"/>
          <s v="5月23日"/>
          <s v="5月24日"/>
          <s v="5月25日"/>
          <s v="5月26日"/>
          <s v="5月27日"/>
          <s v="5月28日"/>
          <s v="5月29日"/>
          <s v="5月30日"/>
          <s v="5月31日"/>
          <s v="6月1日"/>
          <s v="6月2日"/>
          <s v="6月3日"/>
          <s v="6月4日"/>
          <s v="6月5日"/>
          <s v="6月6日"/>
          <s v="6月7日"/>
          <s v="6月8日"/>
          <s v="6月9日"/>
          <s v="6月10日"/>
          <s v="6月11日"/>
          <s v="6月12日"/>
          <s v="6月13日"/>
          <s v="6月14日"/>
          <s v="6月15日"/>
          <s v="6月16日"/>
          <s v="6月17日"/>
          <s v="6月18日"/>
          <s v="6月19日"/>
          <s v="6月20日"/>
          <s v="6月21日"/>
          <s v="6月22日"/>
          <s v="6月23日"/>
          <s v="6月24日"/>
          <s v="6月25日"/>
          <s v="6月26日"/>
          <s v="6月27日"/>
          <s v="6月28日"/>
          <s v="6月29日"/>
          <s v="6月30日"/>
          <s v="7月1日"/>
          <s v="7月2日"/>
          <s v="7月3日"/>
          <s v="7月4日"/>
          <s v="7月5日"/>
          <s v="7月6日"/>
          <s v="7月7日"/>
          <s v="7月8日"/>
          <s v="7月9日"/>
          <s v="7月10日"/>
          <s v="7月11日"/>
          <s v="7月12日"/>
          <s v="7月13日"/>
          <s v="7月14日"/>
          <s v="7月15日"/>
          <s v="7月16日"/>
          <s v="7月17日"/>
          <s v="7月18日"/>
          <s v="7月19日"/>
          <s v="7月20日"/>
          <s v="7月21日"/>
          <s v="7月22日"/>
          <s v="7月23日"/>
          <s v="7月24日"/>
          <s v="7月25日"/>
          <s v="7月26日"/>
          <s v="7月27日"/>
          <s v="7月28日"/>
          <s v="7月29日"/>
          <s v="7月30日"/>
          <s v="7月31日"/>
          <s v="8月1日"/>
          <s v="8月2日"/>
          <s v="8月3日"/>
          <s v="8月4日"/>
          <s v="8月5日"/>
          <s v="8月6日"/>
          <s v="8月7日"/>
          <s v="8月8日"/>
          <s v="8月9日"/>
          <s v="8月10日"/>
          <s v="8月11日"/>
          <s v="8月12日"/>
          <s v="8月13日"/>
          <s v="8月14日"/>
          <s v="8月15日"/>
          <s v="8月16日"/>
          <s v="8月17日"/>
          <s v="8月18日"/>
          <s v="8月19日"/>
          <s v="8月20日"/>
          <s v="8月21日"/>
          <s v="8月22日"/>
          <s v="8月23日"/>
          <s v="8月24日"/>
          <s v="8月25日"/>
          <s v="8月26日"/>
          <s v="8月27日"/>
          <s v="8月28日"/>
          <s v="8月29日"/>
          <s v="8月30日"/>
          <s v="8月31日"/>
          <s v="9月1日"/>
          <s v="9月2日"/>
          <s v="9月3日"/>
          <s v="9月4日"/>
          <s v="9月5日"/>
          <s v="9月6日"/>
          <s v="9月7日"/>
          <s v="9月8日"/>
          <s v="9月9日"/>
          <s v="9月10日"/>
          <s v="9月11日"/>
          <s v="9月12日"/>
          <s v="9月13日"/>
          <s v="9月14日"/>
          <s v="9月15日"/>
          <s v="9月16日"/>
          <s v="9月17日"/>
          <s v="9月18日"/>
          <s v="9月19日"/>
          <s v="9月20日"/>
          <s v="9月21日"/>
          <s v="9月22日"/>
          <s v="9月23日"/>
          <s v="9月24日"/>
          <s v="9月25日"/>
          <s v="9月26日"/>
          <s v="9月27日"/>
          <s v="9月28日"/>
          <s v="9月29日"/>
          <s v="9月30日"/>
          <s v="10月1日"/>
          <s v="10月2日"/>
          <s v="10月3日"/>
          <s v="10月4日"/>
          <s v="10月5日"/>
          <s v="10月6日"/>
          <s v="10月7日"/>
          <s v="10月8日"/>
          <s v="10月9日"/>
          <s v="10月10日"/>
          <s v="10月11日"/>
          <s v="10月12日"/>
          <s v="10月13日"/>
          <s v="10月14日"/>
          <s v="10月15日"/>
          <s v="10月16日"/>
          <s v="10月17日"/>
          <s v="10月18日"/>
          <s v="10月19日"/>
          <s v="10月20日"/>
          <s v="10月21日"/>
          <s v="10月22日"/>
          <s v="10月23日"/>
          <s v="10月24日"/>
          <s v="10月25日"/>
          <s v="10月26日"/>
          <s v="10月27日"/>
          <s v="10月28日"/>
          <s v="10月29日"/>
          <s v="10月30日"/>
          <s v="10月31日"/>
          <s v="11月1日"/>
          <s v="11月2日"/>
          <s v="11月3日"/>
          <s v="11月4日"/>
          <s v="11月5日"/>
          <s v="11月6日"/>
          <s v="11月7日"/>
          <s v="11月8日"/>
          <s v="11月9日"/>
          <s v="11月10日"/>
          <s v="11月11日"/>
          <s v="11月12日"/>
          <s v="11月13日"/>
          <s v="11月14日"/>
          <s v="11月15日"/>
          <s v="11月16日"/>
          <s v="11月17日"/>
          <s v="11月18日"/>
          <s v="11月19日"/>
          <s v="11月20日"/>
          <s v="11月21日"/>
          <s v="11月22日"/>
          <s v="11月23日"/>
          <s v="11月24日"/>
          <s v="11月25日"/>
          <s v="11月26日"/>
          <s v="11月27日"/>
          <s v="11月28日"/>
          <s v="11月29日"/>
          <s v="11月30日"/>
          <s v="12月1日"/>
          <s v="12月2日"/>
          <s v="12月3日"/>
          <s v="12月4日"/>
          <s v="12月5日"/>
          <s v="12月6日"/>
          <s v="12月7日"/>
          <s v="12月8日"/>
          <s v="12月9日"/>
          <s v="12月10日"/>
          <s v="12月11日"/>
          <s v="12月12日"/>
          <s v="12月13日"/>
          <s v="12月14日"/>
          <s v="12月15日"/>
          <s v="12月16日"/>
          <s v="12月17日"/>
          <s v="12月18日"/>
          <s v="12月19日"/>
          <s v="12月20日"/>
          <s v="12月21日"/>
          <s v="12月22日"/>
          <s v="12月23日"/>
          <s v="12月24日"/>
          <s v="12月25日"/>
          <s v="12月26日"/>
          <s v="12月27日"/>
          <s v="12月28日"/>
          <s v="12月29日"/>
          <s v="12月30日"/>
          <s v="12月31日"/>
          <s v="&gt;2025/12/2"/>
        </groupItems>
      </fieldGroup>
    </cacheField>
    <cacheField name="月(Month_Start)" numFmtId="0" databaseField="0">
      <fieldGroup base="2">
        <rangePr groupBy="months" startDate="2025-01-01T00:00:00" endDate="2025-12-02T00:00:00"/>
        <groupItems count="14">
          <s v="&lt;2025/1/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5/12/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x v="0"/>
    <x v="0"/>
    <x v="0"/>
    <x v="0"/>
    <n v="12"/>
    <n v="10000"/>
    <n v="0"/>
    <n v="0"/>
    <n v="-10000"/>
    <x v="0"/>
    <x v="0"/>
    <n v="-15381.944444444445"/>
    <x v="0"/>
    <n v="-41423.611111111109"/>
    <x v="0"/>
  </r>
  <r>
    <x v="0"/>
    <x v="1"/>
    <x v="1"/>
    <x v="1"/>
    <x v="1"/>
    <x v="1"/>
    <x v="0"/>
    <n v="12.024718035238113"/>
    <n v="10020.598362698427"/>
    <n v="8016.4786901587422"/>
    <n v="-80.164786901587419"/>
    <n v="-2084.2844594412727"/>
    <x v="0"/>
    <x v="0"/>
    <n v="-7466.228903885718"/>
    <x v="0"/>
    <n v="-33507.895570552384"/>
    <x v="0"/>
  </r>
  <r>
    <x v="0"/>
    <x v="2"/>
    <x v="2"/>
    <x v="1"/>
    <x v="0"/>
    <x v="2"/>
    <x v="1"/>
    <n v="12.04948698558173"/>
    <n v="10041.239154651443"/>
    <n v="8032.9913237211549"/>
    <n v="-499.0543390835436"/>
    <n v="39365.140414619374"/>
    <x v="0"/>
    <x v="0"/>
    <n v="33983.195970174929"/>
    <x v="0"/>
    <n v="7941.5293035082614"/>
    <x v="0"/>
  </r>
  <r>
    <x v="0"/>
    <x v="3"/>
    <x v="3"/>
    <x v="1"/>
    <x v="0"/>
    <x v="3"/>
    <x v="2"/>
    <n v="12.074306955907634"/>
    <n v="10061.92246325636"/>
    <n v="8049.537970605088"/>
    <n v="-500.25249294677292"/>
    <n v="39463.074338474151"/>
    <x v="0"/>
    <x v="0"/>
    <n v="34081.129894029706"/>
    <x v="0"/>
    <n v="8039.4632273630377"/>
    <x v="1"/>
  </r>
  <r>
    <x v="0"/>
    <x v="4"/>
    <x v="4"/>
    <x v="1"/>
    <x v="0"/>
    <x v="4"/>
    <x v="3"/>
    <n v="12.099178051308627"/>
    <n v="10082.648376090521"/>
    <n v="8066.1187008724173"/>
    <n v="-501.45353452954123"/>
    <n v="39561.251542334052"/>
    <x v="0"/>
    <x v="0"/>
    <n v="34179.307097889607"/>
    <x v="0"/>
    <n v="8137.6404312229388"/>
    <x v="1"/>
  </r>
  <r>
    <x v="0"/>
    <x v="5"/>
    <x v="5"/>
    <x v="1"/>
    <x v="0"/>
    <x v="5"/>
    <x v="4"/>
    <n v="12.124100377093999"/>
    <n v="10103.416980911667"/>
    <n v="8082.7335847293334"/>
    <n v="-502.65747081521766"/>
    <n v="39659.672629794884"/>
    <x v="0"/>
    <x v="0"/>
    <n v="34277.728185350439"/>
    <x v="0"/>
    <n v="8236.0615186837713"/>
    <x v="1"/>
  </r>
  <r>
    <x v="0"/>
    <x v="6"/>
    <x v="6"/>
    <x v="1"/>
    <x v="0"/>
    <x v="6"/>
    <x v="5"/>
    <n v="12.149074038789951"/>
    <n v="10124.228365658291"/>
    <n v="8099.382692526633"/>
    <n v="-503.86430880410882"/>
    <n v="39758.338205948487"/>
    <x v="0"/>
    <x v="0"/>
    <n v="34376.393761504041"/>
    <x v="0"/>
    <n v="8334.7270948373734"/>
    <x v="2"/>
  </r>
  <r>
    <x v="0"/>
    <x v="7"/>
    <x v="7"/>
    <x v="1"/>
    <x v="0"/>
    <x v="7"/>
    <x v="6"/>
    <n v="12.174099142140058"/>
    <n v="10145.082618450047"/>
    <n v="8116.0660947600381"/>
    <n v="-505.07405551350013"/>
    <n v="39857.248877386468"/>
    <x v="0"/>
    <x v="0"/>
    <n v="34475.304432942023"/>
    <x v="0"/>
    <n v="8433.6377662753548"/>
    <x v="2"/>
  </r>
  <r>
    <x v="0"/>
    <x v="8"/>
    <x v="8"/>
    <x v="1"/>
    <x v="0"/>
    <x v="8"/>
    <x v="7"/>
    <n v="12.199175793105699"/>
    <n v="10165.979827588084"/>
    <n v="8132.7838620704679"/>
    <n v="-506.28671797769698"/>
    <n v="39956.40525220392"/>
    <x v="0"/>
    <x v="0"/>
    <n v="34574.460807759475"/>
    <x v="0"/>
    <n v="8532.794141092807"/>
    <x v="2"/>
  </r>
  <r>
    <x v="0"/>
    <x v="9"/>
    <x v="9"/>
    <x v="1"/>
    <x v="0"/>
    <x v="9"/>
    <x v="8"/>
    <n v="12.224304097866527"/>
    <n v="10186.92008155544"/>
    <n v="8149.5360652443524"/>
    <n v="-507.50230324806586"/>
    <n v="40055.807940003084"/>
    <x v="0"/>
    <x v="0"/>
    <n v="34673.863495558639"/>
    <x v="0"/>
    <n v="8632.1968288919707"/>
    <x v="3"/>
  </r>
  <r>
    <x v="0"/>
    <x v="10"/>
    <x v="10"/>
    <x v="1"/>
    <x v="0"/>
    <x v="10"/>
    <x v="9"/>
    <n v="12.249484162820902"/>
    <n v="10207.903469017419"/>
    <n v="8166.3227752139355"/>
    <n v="-508.7208183930768"/>
    <n v="40155.457551897183"/>
    <x v="0"/>
    <x v="0"/>
    <n v="34773.513107452738"/>
    <x v="0"/>
    <n v="8731.8464407860702"/>
    <x v="3"/>
  </r>
  <r>
    <x v="0"/>
    <x v="11"/>
    <x v="11"/>
    <x v="1"/>
    <x v="0"/>
    <x v="11"/>
    <x v="10"/>
    <n v="12.274716094586347"/>
    <n v="10228.930078821955"/>
    <n v="8183.1440630575644"/>
    <n v="-509.9422704983437"/>
    <n v="40255.354700514072"/>
    <x v="0"/>
    <x v="0"/>
    <n v="34873.410256069626"/>
    <x v="0"/>
    <n v="8831.7435894029586"/>
    <x v="3"/>
  </r>
  <r>
    <x v="1"/>
    <x v="0"/>
    <x v="0"/>
    <x v="0"/>
    <x v="0"/>
    <x v="0"/>
    <x v="0"/>
    <n v="12"/>
    <n v="10000"/>
    <n v="0"/>
    <n v="0"/>
    <n v="-10000"/>
    <x v="0"/>
    <x v="0"/>
    <n v="-15381.944444444445"/>
    <x v="0"/>
    <n v="-41423.611111111109"/>
    <x v="0"/>
  </r>
  <r>
    <x v="1"/>
    <x v="1"/>
    <x v="1"/>
    <x v="1"/>
    <x v="1"/>
    <x v="12"/>
    <x v="0"/>
    <n v="12.014897852597391"/>
    <n v="10012.414877164492"/>
    <n v="9011.173389448044"/>
    <n v="-45.055866947240219"/>
    <n v="-1046.2973546636877"/>
    <x v="0"/>
    <x v="0"/>
    <n v="-6428.2417991081329"/>
    <x v="0"/>
    <n v="-32469.908465774803"/>
    <x v="0"/>
  </r>
  <r>
    <x v="1"/>
    <x v="2"/>
    <x v="2"/>
    <x v="1"/>
    <x v="0"/>
    <x v="13"/>
    <x v="11"/>
    <n v="12.029814200695785"/>
    <n v="10024.845167246487"/>
    <n v="9022.3606505218395"/>
    <n v="-255.14614618008855"/>
    <n v="40749.237922591135"/>
    <x v="0"/>
    <x v="0"/>
    <n v="35367.29347814669"/>
    <x v="0"/>
    <n v="9325.6268114800223"/>
    <x v="0"/>
  </r>
  <r>
    <x v="1"/>
    <x v="3"/>
    <x v="3"/>
    <x v="1"/>
    <x v="0"/>
    <x v="14"/>
    <x v="12"/>
    <n v="12.044749067257115"/>
    <n v="10037.290889380929"/>
    <n v="9033.5618004428361"/>
    <n v="-256.05785784159735"/>
    <n v="40918.222821096948"/>
    <x v="0"/>
    <x v="0"/>
    <n v="35536.278376652503"/>
    <x v="0"/>
    <n v="9494.6117099858348"/>
    <x v="1"/>
  </r>
  <r>
    <x v="1"/>
    <x v="4"/>
    <x v="4"/>
    <x v="1"/>
    <x v="0"/>
    <x v="15"/>
    <x v="13"/>
    <n v="12.05970247527183"/>
    <n v="10049.752062726524"/>
    <n v="9044.776856453871"/>
    <n v="-256.97312528536384"/>
    <n v="41087.899869060871"/>
    <x v="0"/>
    <x v="0"/>
    <n v="35705.955424616426"/>
    <x v="0"/>
    <n v="9664.2887579497583"/>
    <x v="1"/>
  </r>
  <r>
    <x v="1"/>
    <x v="5"/>
    <x v="5"/>
    <x v="1"/>
    <x v="0"/>
    <x v="16"/>
    <x v="14"/>
    <n v="12.074674447758913"/>
    <n v="10062.228706465761"/>
    <n v="9056.0058358191854"/>
    <n v="-257.8919628011306"/>
    <n v="41258.271890959222"/>
    <x v="0"/>
    <x v="0"/>
    <n v="35876.327446514777"/>
    <x v="0"/>
    <n v="9834.6607798481091"/>
    <x v="1"/>
  </r>
  <r>
    <x v="1"/>
    <x v="6"/>
    <x v="6"/>
    <x v="1"/>
    <x v="0"/>
    <x v="17"/>
    <x v="15"/>
    <n v="12.08966500776593"/>
    <n v="10074.720839804942"/>
    <n v="9067.2487558244484"/>
    <n v="-258.81438473661387"/>
    <n v="41429.341722781217"/>
    <x v="0"/>
    <x v="0"/>
    <n v="36047.397278336772"/>
    <x v="0"/>
    <n v="10005.730611670104"/>
    <x v="2"/>
  </r>
  <r>
    <x v="1"/>
    <x v="7"/>
    <x v="7"/>
    <x v="1"/>
    <x v="0"/>
    <x v="18"/>
    <x v="16"/>
    <n v="12.104674178369059"/>
    <n v="10087.228481974214"/>
    <n v="9078.5056337767928"/>
    <n v="-259.74040549773957"/>
    <n v="41601.112212075961"/>
    <x v="0"/>
    <x v="0"/>
    <n v="36219.167767631516"/>
    <x v="0"/>
    <n v="10177.501100964848"/>
    <x v="2"/>
  </r>
  <r>
    <x v="1"/>
    <x v="8"/>
    <x v="8"/>
    <x v="1"/>
    <x v="0"/>
    <x v="19"/>
    <x v="17"/>
    <n v="12.119701982673124"/>
    <n v="10099.751652227604"/>
    <n v="9089.7764870048431"/>
    <n v="-260.6700395488798"/>
    <n v="41773.586217999473"/>
    <x v="0"/>
    <x v="0"/>
    <n v="36391.641773555028"/>
    <x v="0"/>
    <n v="10349.97510688836"/>
    <x v="2"/>
  </r>
  <r>
    <x v="1"/>
    <x v="9"/>
    <x v="9"/>
    <x v="1"/>
    <x v="0"/>
    <x v="20"/>
    <x v="18"/>
    <n v="12.13474844381164"/>
    <n v="10112.290369843033"/>
    <n v="9101.0613328587297"/>
    <n v="-261.60330141309112"/>
    <n v="41946.766611362102"/>
    <x v="0"/>
    <x v="0"/>
    <n v="36564.822166917656"/>
    <x v="0"/>
    <n v="10523.155500250989"/>
    <x v="3"/>
  </r>
  <r>
    <x v="1"/>
    <x v="10"/>
    <x v="10"/>
    <x v="1"/>
    <x v="0"/>
    <x v="21"/>
    <x v="19"/>
    <n v="12.149813584946834"/>
    <n v="10124.844654122362"/>
    <n v="9112.3601887101267"/>
    <n v="-262.5402056723529"/>
    <n v="42120.656274675865"/>
    <x v="0"/>
    <x v="0"/>
    <n v="36738.711830231419"/>
    <x v="0"/>
    <n v="10697.045163564751"/>
    <x v="3"/>
  </r>
  <r>
    <x v="1"/>
    <x v="11"/>
    <x v="11"/>
    <x v="1"/>
    <x v="0"/>
    <x v="22"/>
    <x v="20"/>
    <n v="12.164897429269695"/>
    <n v="10137.414524391412"/>
    <n v="9123.6730719522711"/>
    <n v="-263.48076696780731"/>
    <n v="42295.258102202242"/>
    <x v="0"/>
    <x v="0"/>
    <n v="36913.313657757797"/>
    <x v="0"/>
    <n v="10871.646991091129"/>
    <x v="3"/>
  </r>
  <r>
    <x v="2"/>
    <x v="0"/>
    <x v="0"/>
    <x v="0"/>
    <x v="0"/>
    <x v="0"/>
    <x v="0"/>
    <n v="12"/>
    <n v="10000"/>
    <n v="0"/>
    <n v="0"/>
    <n v="-10000"/>
    <x v="0"/>
    <x v="0"/>
    <n v="-15381.944444444445"/>
    <x v="1"/>
    <n v="-43506.944444444445"/>
    <x v="0"/>
  </r>
  <r>
    <x v="2"/>
    <x v="1"/>
    <x v="1"/>
    <x v="0"/>
    <x v="0"/>
    <x v="0"/>
    <x v="0"/>
    <n v="12.03445078462892"/>
    <n v="10028.708987190766"/>
    <n v="0"/>
    <n v="0"/>
    <n v="-10028.708987190766"/>
    <x v="0"/>
    <x v="0"/>
    <n v="-15410.653431635212"/>
    <x v="1"/>
    <n v="-43535.653431635212"/>
    <x v="0"/>
  </r>
  <r>
    <x v="2"/>
    <x v="2"/>
    <x v="2"/>
    <x v="1"/>
    <x v="1"/>
    <x v="0"/>
    <x v="0"/>
    <n v="12.0690004739713"/>
    <n v="10057.500394976085"/>
    <n v="7040.2502764832589"/>
    <n v="-140.80500552966518"/>
    <n v="-3158.0551240224913"/>
    <x v="0"/>
    <x v="0"/>
    <n v="-8539.9995684669357"/>
    <x v="1"/>
    <n v="-36664.999568466934"/>
    <x v="0"/>
  </r>
  <r>
    <x v="2"/>
    <x v="3"/>
    <x v="3"/>
    <x v="1"/>
    <x v="0"/>
    <x v="0"/>
    <x v="21"/>
    <n v="12.10364935197256"/>
    <n v="10086.374459977134"/>
    <n v="7060.4621219839937"/>
    <n v="-974.54257577301325"/>
    <n v="37666.211752900519"/>
    <x v="0"/>
    <x v="0"/>
    <n v="32284.267308456074"/>
    <x v="1"/>
    <n v="4159.2673084560738"/>
    <x v="1"/>
  </r>
  <r>
    <x v="2"/>
    <x v="4"/>
    <x v="4"/>
    <x v="1"/>
    <x v="0"/>
    <x v="0"/>
    <x v="21"/>
    <n v="12.138397703393291"/>
    <n v="10115.331419494409"/>
    <n v="7080.7319936460854"/>
    <n v="-974.94797320625514"/>
    <n v="37657.119267612092"/>
    <x v="0"/>
    <x v="0"/>
    <n v="32275.174823167647"/>
    <x v="1"/>
    <n v="4150.1748231676465"/>
    <x v="1"/>
  </r>
  <r>
    <x v="2"/>
    <x v="5"/>
    <x v="5"/>
    <x v="1"/>
    <x v="0"/>
    <x v="0"/>
    <x v="21"/>
    <n v="12.173245813811604"/>
    <n v="10144.371511509671"/>
    <n v="7101.0600580567698"/>
    <n v="-975.35453449446879"/>
    <n v="37648.000678719298"/>
    <x v="0"/>
    <x v="0"/>
    <n v="32266.056234274853"/>
    <x v="1"/>
    <n v="4141.0562342748526"/>
    <x v="1"/>
  </r>
  <r>
    <x v="2"/>
    <x v="6"/>
    <x v="6"/>
    <x v="1"/>
    <x v="0"/>
    <x v="0"/>
    <x v="21"/>
    <n v="12.208193969625484"/>
    <n v="10173.494974687903"/>
    <n v="7121.4464822815316"/>
    <n v="-975.76226297896415"/>
    <n v="37638.855911281338"/>
    <x v="0"/>
    <x v="0"/>
    <n v="32256.911466836893"/>
    <x v="1"/>
    <n v="4131.9114668368929"/>
    <x v="2"/>
  </r>
  <r>
    <x v="2"/>
    <x v="7"/>
    <x v="7"/>
    <x v="1"/>
    <x v="0"/>
    <x v="0"/>
    <x v="21"/>
    <n v="12.24324245805512"/>
    <n v="10202.702048379266"/>
    <n v="7141.8914338654859"/>
    <n v="-976.17116201064323"/>
    <n v="37629.684890142249"/>
    <x v="0"/>
    <x v="0"/>
    <n v="32247.740445697804"/>
    <x v="1"/>
    <n v="4122.7404456978038"/>
    <x v="2"/>
  </r>
  <r>
    <x v="2"/>
    <x v="8"/>
    <x v="8"/>
    <x v="1"/>
    <x v="0"/>
    <x v="0"/>
    <x v="21"/>
    <n v="12.278391567145293"/>
    <n v="10231.992972621078"/>
    <n v="7162.3950808347536"/>
    <n v="-976.58123495002849"/>
    <n v="37620.48753993032"/>
    <x v="0"/>
    <x v="0"/>
    <n v="32238.543095485875"/>
    <x v="1"/>
    <n v="4113.5430954858748"/>
    <x v="2"/>
  </r>
  <r>
    <x v="2"/>
    <x v="9"/>
    <x v="9"/>
    <x v="1"/>
    <x v="0"/>
    <x v="0"/>
    <x v="21"/>
    <n v="12.313641585767733"/>
    <n v="10261.367988139778"/>
    <n v="7182.9575916978447"/>
    <n v="-976.99248516729028"/>
    <n v="37611.263785057447"/>
    <x v="0"/>
    <x v="0"/>
    <n v="32229.319340613001"/>
    <x v="1"/>
    <n v="4104.3193406130013"/>
    <x v="3"/>
  </r>
  <r>
    <x v="2"/>
    <x v="10"/>
    <x v="10"/>
    <x v="1"/>
    <x v="0"/>
    <x v="0"/>
    <x v="21"/>
    <n v="12.348992803623482"/>
    <n v="10290.827336352901"/>
    <n v="7203.5791354470302"/>
    <n v="-977.40491604227395"/>
    <n v="37602.013549718526"/>
    <x v="0"/>
    <x v="0"/>
    <n v="32220.06910527408"/>
    <x v="1"/>
    <n v="4095.0691052740804"/>
    <x v="3"/>
  </r>
  <r>
    <x v="2"/>
    <x v="11"/>
    <x v="11"/>
    <x v="1"/>
    <x v="0"/>
    <x v="0"/>
    <x v="21"/>
    <n v="12.384445511245289"/>
    <n v="10320.371259371075"/>
    <n v="7224.2598815597521"/>
    <n v="-977.81853096452846"/>
    <n v="37592.736757890823"/>
    <x v="0"/>
    <x v="0"/>
    <n v="32210.792313446378"/>
    <x v="1"/>
    <n v="4085.792313446378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F5871D-7F0E-4580-A1DD-2DCB81968201}" name="数据透视表1" cacheId="19" applyNumberFormats="0" applyBorderFormats="0" applyFontFormats="0" applyPatternFormats="0" applyAlignmentFormats="0" applyWidthHeightFormats="1" dataCaption="值" updatedVersion="8" minRefreshableVersion="3" rowGrandTotals="0" itemPrintTitles="1" createdVersion="8" indent="0" showHeaders="0" compact="0" compactData="0" gridDropZones="1" multipleFieldFilters="0" fieldListSortAscending="1">
  <location ref="C43:S83" firstHeaderRow="1" firstDataRow="2" firstDataCol="3"/>
  <pivotFields count="20">
    <pivotField axis="axisRow" subtotalCaption="? Total" compact="0" outline="0" showAll="0">
      <items count="4">
        <item x="0"/>
        <item x="2"/>
        <item x="1"/>
        <item t="default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0"/>
    <field x="1"/>
    <field x="2"/>
  </rowFields>
  <rowItems count="39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0"/>
    </i>
    <i r="1">
      <x v="11"/>
      <x v="11"/>
    </i>
    <i t="default">
      <x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0"/>
    </i>
    <i r="1">
      <x v="11"/>
      <x v="11"/>
    </i>
    <i t="default">
      <x v="1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0"/>
    </i>
    <i r="1">
      <x v="11"/>
      <x v="11"/>
    </i>
    <i t="default">
      <x v="2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dataFields count="14">
    <dataField name="Occupied_" fld="3" baseField="0" baseItem="0"/>
    <dataField name="FreeRent_" fld="4" baseField="0" baseItem="0"/>
    <dataField name="Rent_psf_pa_" fld="5" baseField="2" baseItem="5" numFmtId="178"/>
    <dataField name="Base_Rent_" fld="6" baseField="2" baseItem="3" numFmtId="180"/>
    <dataField name="Expense_psf_pa_" fld="7" baseField="2" baseItem="7" numFmtId="178"/>
    <dataField name="OpEx_" fld="8" baseField="2" baseItem="4" numFmtId="180"/>
    <dataField name="Recoveries_" fld="9" baseField="2" baseItem="6" numFmtId="180"/>
    <dataField name="Bad_Debt_" fld="10" baseField="2" baseItem="7" numFmtId="180"/>
    <dataField name="NOI_pre_Amort_" fld="11" baseField="2" baseItem="2" numFmtId="180"/>
    <dataField name="TI_Amort_" fld="12" baseField="2" baseItem="6" numFmtId="180"/>
    <dataField name="LC_Amort_" fld="13" baseField="2" baseItem="4" numFmtId="180"/>
    <dataField name="NOI_" fld="14" baseField="2" baseItem="6" numFmtId="180"/>
    <dataField name="Interest_Expense_" fld="15" baseField="2" baseItem="5" numFmtId="180"/>
    <dataField name="AFFO_" fld="16" baseField="2" baseItem="4" numFmtId="180"/>
  </dataFields>
  <formats count="63">
    <format dxfId="125">
      <pivotArea dataOnly="0" outline="0" fieldPosition="0">
        <references count="1">
          <reference field="0" count="0" defaultSubtotal="1"/>
        </references>
      </pivotArea>
    </format>
    <format dxfId="124">
      <pivotArea type="all" dataOnly="0" outline="0" fieldPosition="0"/>
    </format>
    <format dxfId="123">
      <pivotArea outline="0" collapsedLevelsAreSubtotals="1" fieldPosition="0"/>
    </format>
    <format dxfId="122">
      <pivotArea type="origin" dataOnly="0" labelOnly="1" outline="0" fieldPosition="0"/>
    </format>
    <format dxfId="121">
      <pivotArea type="topRight" dataOnly="0" labelOnly="1" outline="0" fieldPosition="0"/>
    </format>
    <format dxfId="120">
      <pivotArea dataOnly="0" labelOnly="1" outline="0" fieldPosition="0">
        <references count="1">
          <reference field="0" count="0"/>
        </references>
      </pivotArea>
    </format>
    <format dxfId="119">
      <pivotArea dataOnly="0" labelOnly="1" outline="0" fieldPosition="0">
        <references count="1">
          <reference field="0" count="0" defaultSubtotal="1"/>
        </references>
      </pivotArea>
    </format>
    <format dxfId="118">
      <pivotArea dataOnly="0" labelOnly="1" grandRow="1" outline="0" fieldPosition="0"/>
    </format>
    <format dxfId="117">
      <pivotArea dataOnly="0" labelOnly="1" outline="0" fieldPosition="0">
        <references count="2">
          <reference field="0" count="1" selected="0">
            <x v="0"/>
          </reference>
          <reference field="1" count="0"/>
        </references>
      </pivotArea>
    </format>
    <format dxfId="116">
      <pivotArea dataOnly="0" labelOnly="1" outline="0" fieldPosition="0">
        <references count="2">
          <reference field="0" count="1" selected="0">
            <x v="1"/>
          </reference>
          <reference field="1" count="0"/>
        </references>
      </pivotArea>
    </format>
    <format dxfId="115">
      <pivotArea dataOnly="0" labelOnly="1" outline="0" fieldPosition="0">
        <references count="2">
          <reference field="0" count="1" selected="0">
            <x v="2"/>
          </reference>
          <reference field="1" count="0"/>
        </references>
      </pivotArea>
    </format>
    <format dxfId="11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2" count="1">
            <x v="0"/>
          </reference>
        </references>
      </pivotArea>
    </format>
    <format dxfId="11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"/>
          </reference>
          <reference field="2" count="1">
            <x v="1"/>
          </reference>
        </references>
      </pivotArea>
    </format>
    <format dxfId="11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"/>
          </reference>
          <reference field="2" count="1">
            <x v="2"/>
          </reference>
        </references>
      </pivotArea>
    </format>
    <format dxfId="11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3"/>
          </reference>
          <reference field="2" count="1">
            <x v="3"/>
          </reference>
        </references>
      </pivotArea>
    </format>
    <format dxfId="11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4"/>
          </reference>
          <reference field="2" count="1">
            <x v="4"/>
          </reference>
        </references>
      </pivotArea>
    </format>
    <format dxfId="10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5"/>
          </reference>
          <reference field="2" count="1">
            <x v="5"/>
          </reference>
        </references>
      </pivotArea>
    </format>
    <format dxfId="10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6"/>
          </reference>
          <reference field="2" count="1">
            <x v="6"/>
          </reference>
        </references>
      </pivotArea>
    </format>
    <format dxfId="10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7"/>
          </reference>
          <reference field="2" count="1">
            <x v="7"/>
          </reference>
        </references>
      </pivotArea>
    </format>
    <format dxfId="10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"/>
          </reference>
          <reference field="2" count="1">
            <x v="8"/>
          </reference>
        </references>
      </pivotArea>
    </format>
    <format dxfId="10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"/>
          </reference>
          <reference field="2" count="1">
            <x v="9"/>
          </reference>
        </references>
      </pivotArea>
    </format>
    <format dxfId="10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0"/>
          </reference>
          <reference field="2" count="1">
            <x v="10"/>
          </reference>
        </references>
      </pivotArea>
    </format>
    <format dxfId="10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1"/>
          </reference>
          <reference field="2" count="1">
            <x v="11"/>
          </reference>
        </references>
      </pivotArea>
    </format>
    <format dxfId="10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0"/>
          </reference>
          <reference field="2" count="1">
            <x v="0"/>
          </reference>
        </references>
      </pivotArea>
    </format>
    <format dxfId="10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"/>
          </reference>
          <reference field="2" count="1">
            <x v="1"/>
          </reference>
        </references>
      </pivotArea>
    </format>
    <format dxfId="10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2"/>
          </reference>
          <reference field="2" count="1">
            <x v="2"/>
          </reference>
        </references>
      </pivotArea>
    </format>
    <format dxfId="9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"/>
          </reference>
          <reference field="2" count="1">
            <x v="3"/>
          </reference>
        </references>
      </pivotArea>
    </format>
    <format dxfId="9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"/>
          </reference>
          <reference field="2" count="1">
            <x v="4"/>
          </reference>
        </references>
      </pivotArea>
    </format>
    <format dxfId="9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"/>
          </reference>
          <reference field="2" count="1">
            <x v="5"/>
          </reference>
        </references>
      </pivotArea>
    </format>
    <format dxfId="9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"/>
          </reference>
          <reference field="2" count="1">
            <x v="6"/>
          </reference>
        </references>
      </pivotArea>
    </format>
    <format dxfId="9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"/>
          </reference>
          <reference field="2" count="1">
            <x v="7"/>
          </reference>
        </references>
      </pivotArea>
    </format>
    <format dxfId="9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8"/>
          </reference>
          <reference field="2" count="1">
            <x v="8"/>
          </reference>
        </references>
      </pivotArea>
    </format>
    <format dxfId="9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9"/>
          </reference>
          <reference field="2" count="1">
            <x v="9"/>
          </reference>
        </references>
      </pivotArea>
    </format>
    <format dxfId="9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"/>
          </reference>
          <reference field="2" count="1">
            <x v="10"/>
          </reference>
        </references>
      </pivotArea>
    </format>
    <format dxfId="9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1"/>
          </reference>
          <reference field="2" count="1">
            <x v="11"/>
          </reference>
        </references>
      </pivotArea>
    </format>
    <format dxfId="90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0"/>
          </reference>
          <reference field="2" count="1">
            <x v="0"/>
          </reference>
        </references>
      </pivotArea>
    </format>
    <format dxfId="89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"/>
          </reference>
          <reference field="2" count="1">
            <x v="1"/>
          </reference>
        </references>
      </pivotArea>
    </format>
    <format dxfId="88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2"/>
          </reference>
          <reference field="2" count="1">
            <x v="2"/>
          </reference>
        </references>
      </pivotArea>
    </format>
    <format dxfId="87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3"/>
          </reference>
          <reference field="2" count="1">
            <x v="3"/>
          </reference>
        </references>
      </pivotArea>
    </format>
    <format dxfId="86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4"/>
          </reference>
          <reference field="2" count="1">
            <x v="4"/>
          </reference>
        </references>
      </pivotArea>
    </format>
    <format dxfId="85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5"/>
          </reference>
          <reference field="2" count="1">
            <x v="5"/>
          </reference>
        </references>
      </pivotArea>
    </format>
    <format dxfId="84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6"/>
          </reference>
          <reference field="2" count="1">
            <x v="6"/>
          </reference>
        </references>
      </pivotArea>
    </format>
    <format dxfId="83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7"/>
          </reference>
          <reference field="2" count="1">
            <x v="7"/>
          </reference>
        </references>
      </pivotArea>
    </format>
    <format dxfId="82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8"/>
          </reference>
          <reference field="2" count="1">
            <x v="8"/>
          </reference>
        </references>
      </pivotArea>
    </format>
    <format dxfId="81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9"/>
          </reference>
          <reference field="2" count="1">
            <x v="9"/>
          </reference>
        </references>
      </pivotArea>
    </format>
    <format dxfId="80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0"/>
          </reference>
          <reference field="2" count="1">
            <x v="10"/>
          </reference>
        </references>
      </pivotArea>
    </format>
    <format dxfId="79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1"/>
          </reference>
          <reference field="2" count="1">
            <x v="11"/>
          </reference>
        </references>
      </pivotArea>
    </format>
    <format dxfId="78">
      <pivotArea dataOnly="0" labelOnly="1" outline="0" fieldPosition="0">
        <references count="1">
          <reference field="4294967294" count="1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77">
      <pivotArea dataOnly="0" labelOnly="1" outline="0" fieldPosition="0">
        <references count="1">
          <reference field="4294967294" count="1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76">
      <pivotArea outline="0" fieldPosition="0">
        <references count="1">
          <reference field="4294967294" count="1">
            <x v="2"/>
          </reference>
        </references>
      </pivotArea>
    </format>
    <format dxfId="75">
      <pivotArea outline="0" fieldPosition="0">
        <references count="1">
          <reference field="4294967294" count="1">
            <x v="3"/>
          </reference>
        </references>
      </pivotArea>
    </format>
    <format dxfId="74">
      <pivotArea outline="0" fieldPosition="0">
        <references count="1">
          <reference field="4294967294" count="1">
            <x v="4"/>
          </reference>
        </references>
      </pivotArea>
    </format>
    <format dxfId="73">
      <pivotArea outline="0" fieldPosition="0">
        <references count="1">
          <reference field="4294967294" count="1">
            <x v="5"/>
          </reference>
        </references>
      </pivotArea>
    </format>
    <format dxfId="72">
      <pivotArea outline="0" fieldPosition="0">
        <references count="1">
          <reference field="4294967294" count="1">
            <x v="6"/>
          </reference>
        </references>
      </pivotArea>
    </format>
    <format dxfId="71">
      <pivotArea outline="0" fieldPosition="0">
        <references count="1">
          <reference field="4294967294" count="1">
            <x v="7"/>
          </reference>
        </references>
      </pivotArea>
    </format>
    <format dxfId="70">
      <pivotArea outline="0" fieldPosition="0">
        <references count="1">
          <reference field="4294967294" count="1">
            <x v="8"/>
          </reference>
        </references>
      </pivotArea>
    </format>
    <format dxfId="69">
      <pivotArea outline="0" fieldPosition="0">
        <references count="1">
          <reference field="4294967294" count="1">
            <x v="9"/>
          </reference>
        </references>
      </pivotArea>
    </format>
    <format dxfId="68">
      <pivotArea outline="0" fieldPosition="0">
        <references count="1">
          <reference field="4294967294" count="1">
            <x v="10"/>
          </reference>
        </references>
      </pivotArea>
    </format>
    <format dxfId="67">
      <pivotArea outline="0" fieldPosition="0">
        <references count="1">
          <reference field="4294967294" count="1">
            <x v="11"/>
          </reference>
        </references>
      </pivotArea>
    </format>
    <format dxfId="66">
      <pivotArea outline="0" fieldPosition="0">
        <references count="1">
          <reference field="4294967294" count="1">
            <x v="12"/>
          </reference>
        </references>
      </pivotArea>
    </format>
    <format dxfId="65">
      <pivotArea outline="0" fieldPosition="0">
        <references count="1">
          <reference field="4294967294" count="1">
            <x v="13"/>
          </reference>
        </references>
      </pivotArea>
    </format>
    <format dxfId="64">
      <pivotArea dataOnly="0" labelOnly="1" outline="0" fieldPosition="0">
        <references count="1">
          <reference field="4294967294" count="1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63">
      <pivotArea dataOnly="0" labelOnly="1" outline="0" fieldPosition="0">
        <references count="1">
          <reference field="4294967294" count="1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4EC148-9883-4410-90B3-C4BE91AE9290}" name="数据透视表3" cacheId="19" applyNumberFormats="0" applyBorderFormats="0" applyFontFormats="0" applyPatternFormats="0" applyAlignmentFormats="0" applyWidthHeightFormats="1" dataCaption="值" updatedVersion="8" minRefreshableVersion="3" rowGrandTotals="0" itemPrintTitles="1" createdVersion="8" indent="0" showHeaders="0" compact="0" compactData="0" gridDropZones="1" multipleFieldFilters="0" fieldListSortAscending="1">
  <location ref="C24:S40" firstHeaderRow="1" firstDataRow="2" firstDataCol="3"/>
  <pivotFields count="20">
    <pivotField axis="axisRow" subtotalCaption="? Total" compact="0" outline="0" showAll="0">
      <items count="4">
        <item x="0"/>
        <item x="1"/>
        <item x="2"/>
        <item t="default"/>
      </items>
    </pivotField>
    <pivotField compact="0" outline="0" showAll="0" defaultSubtotal="0"/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axis="axisRow" compact="0" outline="0" showAll="0">
      <items count="5">
        <item sd="0" x="0"/>
        <item sd="0" x="1"/>
        <item sd="0" x="2"/>
        <item sd="0" x="3"/>
        <item t="default" sd="0"/>
      </items>
    </pivotField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0"/>
    <field x="17"/>
    <field x="2"/>
  </rowFields>
  <rowItems count="15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dataFields count="14">
    <dataField name="Occupied_" fld="3" baseField="0" baseItem="0"/>
    <dataField name="FreeRent_" fld="4" baseField="0" baseItem="0"/>
    <dataField name="Rent_psf_pa_" fld="5" baseField="2" baseItem="5" numFmtId="178"/>
    <dataField name="Base_Rent_" fld="6" baseField="2" baseItem="3" numFmtId="180"/>
    <dataField name="Expense_psf_pa_" fld="7" baseField="2" baseItem="7" numFmtId="178"/>
    <dataField name="OpEx_" fld="8" baseField="2" baseItem="4" numFmtId="180"/>
    <dataField name="Recoveries_" fld="9" baseField="2" baseItem="6" numFmtId="180"/>
    <dataField name="Bad_Debt_" fld="10" baseField="2" baseItem="7" numFmtId="180"/>
    <dataField name="NOI_pre_Amort_" fld="11" baseField="2" baseItem="2" numFmtId="180"/>
    <dataField name="TI_Amort_" fld="12" baseField="2" baseItem="6" numFmtId="180"/>
    <dataField name="LC_Amort_" fld="13" baseField="2" baseItem="4" numFmtId="180"/>
    <dataField name="NOI_" fld="14" baseField="2" baseItem="6" numFmtId="180"/>
    <dataField name="Interest_Expense_" fld="15" baseField="2" baseItem="5" numFmtId="180"/>
    <dataField name="AFFO_" fld="16" baseField="2" baseItem="4" numFmtId="180"/>
  </dataFields>
  <formats count="24">
    <format dxfId="149">
      <pivotArea dataOnly="0" outline="0" fieldPosition="0">
        <references count="1">
          <reference field="0" count="0" defaultSubtotal="1"/>
        </references>
      </pivotArea>
    </format>
    <format dxfId="148">
      <pivotArea type="all" dataOnly="0" outline="0" fieldPosition="0"/>
    </format>
    <format dxfId="147">
      <pivotArea outline="0" collapsedLevelsAreSubtotals="1" fieldPosition="0"/>
    </format>
    <format dxfId="146">
      <pivotArea type="origin" dataOnly="0" labelOnly="1" outline="0" fieldPosition="0"/>
    </format>
    <format dxfId="145">
      <pivotArea type="topRight" dataOnly="0" labelOnly="1" outline="0" fieldPosition="0"/>
    </format>
    <format dxfId="144">
      <pivotArea dataOnly="0" labelOnly="1" outline="0" fieldPosition="0">
        <references count="1">
          <reference field="0" count="0"/>
        </references>
      </pivotArea>
    </format>
    <format dxfId="143">
      <pivotArea dataOnly="0" labelOnly="1" outline="0" fieldPosition="0">
        <references count="1">
          <reference field="0" count="0" defaultSubtotal="1"/>
        </references>
      </pivotArea>
    </format>
    <format dxfId="142">
      <pivotArea dataOnly="0" labelOnly="1" grandRow="1" outline="0" fieldPosition="0"/>
    </format>
    <format dxfId="141">
      <pivotArea dataOnly="0" labelOnly="1" outline="0" fieldPosition="0">
        <references count="1">
          <reference field="4294967294" count="1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140">
      <pivotArea dataOnly="0" labelOnly="1" outline="0" fieldPosition="0">
        <references count="1">
          <reference field="4294967294" count="1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139">
      <pivotArea outline="0" fieldPosition="0">
        <references count="1">
          <reference field="4294967294" count="1">
            <x v="2"/>
          </reference>
        </references>
      </pivotArea>
    </format>
    <format dxfId="138">
      <pivotArea outline="0" fieldPosition="0">
        <references count="1">
          <reference field="4294967294" count="1">
            <x v="3"/>
          </reference>
        </references>
      </pivotArea>
    </format>
    <format dxfId="137">
      <pivotArea outline="0" fieldPosition="0">
        <references count="1">
          <reference field="4294967294" count="1">
            <x v="4"/>
          </reference>
        </references>
      </pivotArea>
    </format>
    <format dxfId="136">
      <pivotArea outline="0" fieldPosition="0">
        <references count="1">
          <reference field="4294967294" count="1">
            <x v="5"/>
          </reference>
        </references>
      </pivotArea>
    </format>
    <format dxfId="135">
      <pivotArea outline="0" fieldPosition="0">
        <references count="1">
          <reference field="4294967294" count="1">
            <x v="6"/>
          </reference>
        </references>
      </pivotArea>
    </format>
    <format dxfId="134">
      <pivotArea outline="0" fieldPosition="0">
        <references count="1">
          <reference field="4294967294" count="1">
            <x v="7"/>
          </reference>
        </references>
      </pivotArea>
    </format>
    <format dxfId="133">
      <pivotArea outline="0" fieldPosition="0">
        <references count="1">
          <reference field="4294967294" count="1">
            <x v="8"/>
          </reference>
        </references>
      </pivotArea>
    </format>
    <format dxfId="132">
      <pivotArea outline="0" fieldPosition="0">
        <references count="1">
          <reference field="4294967294" count="1">
            <x v="9"/>
          </reference>
        </references>
      </pivotArea>
    </format>
    <format dxfId="131">
      <pivotArea outline="0" fieldPosition="0">
        <references count="1">
          <reference field="4294967294" count="1">
            <x v="10"/>
          </reference>
        </references>
      </pivotArea>
    </format>
    <format dxfId="130">
      <pivotArea outline="0" fieldPosition="0">
        <references count="1">
          <reference field="4294967294" count="1">
            <x v="11"/>
          </reference>
        </references>
      </pivotArea>
    </format>
    <format dxfId="129">
      <pivotArea outline="0" fieldPosition="0">
        <references count="1">
          <reference field="4294967294" count="1">
            <x v="12"/>
          </reference>
        </references>
      </pivotArea>
    </format>
    <format dxfId="128">
      <pivotArea outline="0" fieldPosition="0">
        <references count="1">
          <reference field="4294967294" count="1">
            <x v="13"/>
          </reference>
        </references>
      </pivotArea>
    </format>
    <format dxfId="127">
      <pivotArea dataOnly="0" labelOnly="1" outline="0" fieldPosition="0">
        <references count="1">
          <reference field="4294967294" count="1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126">
      <pivotArea dataOnly="0" labelOnly="1" outline="0" fieldPosition="0">
        <references count="1">
          <reference field="4294967294" count="1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3EEF1F5-8F68-4E0B-90FE-6742F3C98802}" name="表4" displayName="表4" ref="A1:R13" totalsRowShown="0" headerRowDxfId="59" dataDxfId="58" headerRowBorderDxfId="56" tableBorderDxfId="57">
  <autoFilter ref="A1:R13" xr:uid="{E11EE0CB-4F25-440F-9844-1D1466FAA5EB}"/>
  <tableColumns count="18">
    <tableColumn id="1" xr3:uid="{B0639FEB-AD80-4096-88E4-D19F6BA1FAD4}" name="Scenario Selection" dataDxfId="55"/>
    <tableColumn id="2" xr3:uid="{95ABFE7F-5E67-4B80-B228-136EFEFEC1F5}" name="Month_Index" dataDxfId="54"/>
    <tableColumn id="3" xr3:uid="{478FDD70-6A7A-4AEC-BB8C-405C5DF339DA}" name="Month_Start" dataDxfId="53"/>
    <tableColumn id="4" xr3:uid="{AAD350A3-EBFE-4766-A3B4-25EFDDF14662}" name="Occupied" dataDxfId="52"/>
    <tableColumn id="5" xr3:uid="{2874093B-F421-42EF-9842-803A242CD9A4}" name="FreeRent" dataDxfId="51"/>
    <tableColumn id="6" xr3:uid="{5492631C-7709-44CA-BAE7-F1B48F290D2E}" name="Rent_psf_pa" dataDxfId="50"/>
    <tableColumn id="7" xr3:uid="{632619B1-B7F7-4387-B7B1-D7AA3831AACC}" name="Base_Rent" dataDxfId="49"/>
    <tableColumn id="8" xr3:uid="{873A86C7-9F85-4006-BE82-EB07A9A2A941}" name="Expense_psf_pa" dataDxfId="48"/>
    <tableColumn id="9" xr3:uid="{B05106D8-B16C-46FF-9AAD-C19E16902838}" name="OpEx" dataDxfId="47"/>
    <tableColumn id="10" xr3:uid="{6496DF39-1DCF-4E52-B4D7-CF6A057C91C3}" name="Recoveries" dataDxfId="46"/>
    <tableColumn id="11" xr3:uid="{44C41FFF-054B-417D-BAEA-DEB6B5DDF797}" name="Bad_Debt" dataDxfId="45"/>
    <tableColumn id="12" xr3:uid="{5F9E1F1E-F4F4-4A51-A22F-37C5A4FC43A9}" name="NOI_pre_Amort" dataDxfId="44"/>
    <tableColumn id="13" xr3:uid="{733E991A-25AB-4F79-8187-F863B590064C}" name="TI_Amort" dataDxfId="43"/>
    <tableColumn id="14" xr3:uid="{DCF141DC-F4DB-448C-AEC2-68A4793230F1}" name="LC_Amort" dataDxfId="42"/>
    <tableColumn id="15" xr3:uid="{A5FA6727-80C9-4942-9AD8-A674F3F283A1}" name="NOI" dataDxfId="41"/>
    <tableColumn id="16" xr3:uid="{79527D5A-6865-454A-B5A0-D259F7A2088D}" name="Interest_Expense" dataDxfId="40"/>
    <tableColumn id="17" xr3:uid="{CB82EE99-7687-4D2E-A2CC-457B8C00119A}" name="AFFO" dataDxfId="39"/>
    <tableColumn id="18" xr3:uid="{9EC7FF3D-0F7F-4B83-BBCE-A87CF5BE25F4}" name="Quarter" dataDxfId="3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352BF31-1441-4ABD-9295-AFEA82C39FC2}" name="表6" displayName="表6" ref="A16:R28" totalsRowShown="0" dataDxfId="37">
  <autoFilter ref="A16:R28" xr:uid="{8352BF31-1441-4ABD-9295-AFEA82C39FC2}"/>
  <tableColumns count="18">
    <tableColumn id="1" xr3:uid="{453A7A5F-4241-42DB-A166-07BBF5A0A0F7}" name="Scenario Selection" dataDxfId="36"/>
    <tableColumn id="2" xr3:uid="{18AEFE11-D885-47E2-AABF-E42F74BDAFEE}" name="Month_Index" dataDxfId="35"/>
    <tableColumn id="3" xr3:uid="{1206D27B-611C-474C-A82D-B2969CCBC721}" name="Month_Start" dataDxfId="34"/>
    <tableColumn id="4" xr3:uid="{0B3F5070-CF4F-4521-88FC-BB6DCADB7C66}" name="Occupied" dataDxfId="33"/>
    <tableColumn id="5" xr3:uid="{45CDE183-DE1F-4326-A473-38A14D1A7010}" name="FreeRent" dataDxfId="32"/>
    <tableColumn id="6" xr3:uid="{71BF5E7E-F678-4D4D-94F3-4867FCC972FB}" name="Rent_psf_pa" dataDxfId="31"/>
    <tableColumn id="7" xr3:uid="{84F8487C-D2FE-427A-A0DC-50D29E2B548E}" name="Base_Rent" dataDxfId="30"/>
    <tableColumn id="8" xr3:uid="{0A03DBE3-EC67-440F-952D-0D7DC643F1FF}" name="Expense_psf_pa" dataDxfId="29"/>
    <tableColumn id="9" xr3:uid="{A84F572A-A6D5-4D71-921D-43878AB434FC}" name="OpEx" dataDxfId="28"/>
    <tableColumn id="10" xr3:uid="{3625ECE3-DBEC-4285-AF6E-7A4F97CCEBB3}" name="Recoveries" dataDxfId="27"/>
    <tableColumn id="11" xr3:uid="{BD7322D8-301D-46FB-86E0-A732F79EB254}" name="Bad_Debt" dataDxfId="26"/>
    <tableColumn id="12" xr3:uid="{F80A14DC-CF96-44EC-8FEC-84724C2F518D}" name="NOI_pre_Amort" dataDxfId="25"/>
    <tableColumn id="13" xr3:uid="{7992E5AD-8027-417D-A204-F244575DA0F1}" name="TI_Amort" dataDxfId="24"/>
    <tableColumn id="14" xr3:uid="{967CDEB7-4626-4668-9882-B219C73D800D}" name="LC_Amort" dataDxfId="23"/>
    <tableColumn id="15" xr3:uid="{D05EAFBD-6D2C-43EB-9A5E-B0D119A893E6}" name="NOI" dataDxfId="22"/>
    <tableColumn id="16" xr3:uid="{9FD18B9B-E5D0-44D8-817E-687031EE3C5B}" name="Interest_Expense" dataDxfId="21"/>
    <tableColumn id="17" xr3:uid="{6B9052B7-A102-41AF-BBD2-DCAB6F25D212}" name="AFFO" dataDxfId="20"/>
    <tableColumn id="18" xr3:uid="{8C0D0E81-11F6-4CA5-992A-020A66AC93D2}" name="Quarter" dataDxfId="19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9D69A87-1FC6-4584-81E8-5EAE73EECCCC}" name="表7" displayName="表7" ref="A31:R43" totalsRowShown="0" dataDxfId="18">
  <autoFilter ref="A31:R43" xr:uid="{39D69A87-1FC6-4584-81E8-5EAE73EECCCC}"/>
  <tableColumns count="18">
    <tableColumn id="1" xr3:uid="{0B662F89-73AB-40B2-A96E-142BF1653BD4}" name="Scenario Selection" dataDxfId="17"/>
    <tableColumn id="2" xr3:uid="{EB1EB0FF-275B-4226-95E6-B47E5632F9D3}" name="Month_Index" dataDxfId="16"/>
    <tableColumn id="3" xr3:uid="{B2C51D31-A08F-4F78-848B-679C1A49BDE1}" name="Month_Start" dataDxfId="15"/>
    <tableColumn id="4" xr3:uid="{C6067453-2E8B-4B28-8088-E852652BDA67}" name="Occupied" dataDxfId="14"/>
    <tableColumn id="5" xr3:uid="{2B5BCD31-BCE3-4EDE-A2E6-33AE63607040}" name="FreeRent" dataDxfId="13"/>
    <tableColumn id="6" xr3:uid="{9F0F4744-1F2D-4870-AFDE-71346D6EE0E5}" name="Rent_psf_pa" dataDxfId="12"/>
    <tableColumn id="7" xr3:uid="{928E7BDD-0D1E-46F8-B8F2-E937FAC10818}" name="Base_Rent" dataDxfId="11"/>
    <tableColumn id="8" xr3:uid="{922D0BDF-3C6D-4A44-A496-687F4C36536F}" name="Expense_psf_pa" dataDxfId="10"/>
    <tableColumn id="9" xr3:uid="{F2C74AF6-41C2-4CFB-A4FE-FB195D2D833E}" name="OpEx" dataDxfId="9"/>
    <tableColumn id="10" xr3:uid="{85146995-E5CD-4820-98B4-A9D93DE5838E}" name="Recoveries" dataDxfId="8"/>
    <tableColumn id="11" xr3:uid="{1E6D4963-096B-41B6-9729-5DBFE32FA549}" name="Bad_Debt" dataDxfId="7"/>
    <tableColumn id="12" xr3:uid="{2F7424E1-9C6B-44A0-B871-15C0DCC875C6}" name="NOI_pre_Amort" dataDxfId="6"/>
    <tableColumn id="13" xr3:uid="{2305CA5A-BF72-4899-9D52-054ED5841EB5}" name="TI_Amort" dataDxfId="5"/>
    <tableColumn id="14" xr3:uid="{69992349-3A7E-429F-955C-D4385E464CD3}" name="LC_Amort" dataDxfId="4"/>
    <tableColumn id="15" xr3:uid="{31203502-A24D-4680-A40C-916165AAF408}" name="NOI" dataDxfId="3"/>
    <tableColumn id="16" xr3:uid="{A6C0FE7A-A651-4D0B-91E8-5189D62F9E0D}" name="Interest_Expense" dataDxfId="2"/>
    <tableColumn id="17" xr3:uid="{EED622BD-42B3-4568-8FDD-D3FED7450349}" name="AFFO" dataDxfId="1"/>
    <tableColumn id="18" xr3:uid="{166B8E30-B3CF-4C3D-89E4-C5E1D4933196}" name="Quarter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930CD-7317-4425-9399-4063FE3DCB10}">
  <dimension ref="A1:V35"/>
  <sheetViews>
    <sheetView zoomScale="70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22" sqref="D22"/>
    </sheetView>
  </sheetViews>
  <sheetFormatPr defaultRowHeight="14.25" outlineLevelRow="1"/>
  <cols>
    <col min="1" max="1" width="14" style="1" bestFit="1" customWidth="1"/>
    <col min="2" max="2" width="11.33203125" style="1" customWidth="1"/>
    <col min="3" max="9" width="9.59765625" style="1" customWidth="1"/>
    <col min="10" max="10" width="11.46484375" style="1" customWidth="1"/>
    <col min="11" max="11" width="10.73046875" style="1" customWidth="1"/>
    <col min="12" max="12" width="9.59765625" style="1" customWidth="1"/>
    <col min="13" max="13" width="11.1328125" style="1" customWidth="1"/>
    <col min="14" max="19" width="9.59765625" style="1" customWidth="1"/>
    <col min="20" max="20" width="11.1328125" style="1" customWidth="1"/>
    <col min="21" max="21" width="9.59765625" style="1" customWidth="1"/>
    <col min="22" max="22" width="11.86328125" style="1" customWidth="1"/>
    <col min="23" max="16384" width="9.06640625" style="1"/>
  </cols>
  <sheetData>
    <row r="1" spans="1:22" s="34" customFormat="1" ht="42.75">
      <c r="A1" s="47" t="s">
        <v>88</v>
      </c>
      <c r="B1" s="25" t="s">
        <v>0</v>
      </c>
      <c r="C1" s="25" t="s">
        <v>1</v>
      </c>
      <c r="D1" s="25" t="s">
        <v>2</v>
      </c>
      <c r="E1" s="25" t="s">
        <v>3</v>
      </c>
      <c r="F1" s="31" t="s">
        <v>4</v>
      </c>
      <c r="G1" s="25" t="s">
        <v>5</v>
      </c>
      <c r="H1" s="25" t="s">
        <v>6</v>
      </c>
      <c r="I1" s="31" t="s">
        <v>7</v>
      </c>
      <c r="J1" s="25" t="s">
        <v>8</v>
      </c>
      <c r="K1" s="32" t="s">
        <v>9</v>
      </c>
      <c r="L1" s="32" t="s">
        <v>10</v>
      </c>
      <c r="M1" s="32" t="s">
        <v>11</v>
      </c>
      <c r="N1" s="25" t="s">
        <v>12</v>
      </c>
      <c r="O1" s="25" t="s">
        <v>14</v>
      </c>
      <c r="P1" s="25" t="s">
        <v>15</v>
      </c>
      <c r="Q1" s="25" t="s">
        <v>16</v>
      </c>
      <c r="R1" s="25" t="s">
        <v>17</v>
      </c>
      <c r="S1" s="33" t="s">
        <v>18</v>
      </c>
      <c r="T1" s="25" t="s">
        <v>19</v>
      </c>
      <c r="U1" s="25" t="s">
        <v>20</v>
      </c>
      <c r="V1" s="25" t="s">
        <v>21</v>
      </c>
    </row>
    <row r="2" spans="1:22" s="41" customFormat="1" ht="42.4" hidden="1" outlineLevel="1">
      <c r="A2" s="40" t="s">
        <v>52</v>
      </c>
      <c r="B2" s="40" t="s">
        <v>53</v>
      </c>
      <c r="C2" s="40" t="s">
        <v>54</v>
      </c>
      <c r="D2" s="40" t="s">
        <v>55</v>
      </c>
      <c r="E2" s="40" t="s">
        <v>56</v>
      </c>
      <c r="F2" s="40" t="s">
        <v>57</v>
      </c>
      <c r="G2" s="40" t="s">
        <v>58</v>
      </c>
      <c r="H2" s="40" t="s">
        <v>59</v>
      </c>
      <c r="I2" s="40" t="s">
        <v>60</v>
      </c>
      <c r="J2" s="40" t="s">
        <v>61</v>
      </c>
      <c r="K2" s="40" t="s">
        <v>62</v>
      </c>
      <c r="L2" s="40" t="s">
        <v>63</v>
      </c>
      <c r="M2" s="40" t="s">
        <v>64</v>
      </c>
      <c r="N2" s="40" t="s">
        <v>13</v>
      </c>
      <c r="O2" s="40" t="s">
        <v>65</v>
      </c>
      <c r="P2" s="40" t="s">
        <v>66</v>
      </c>
      <c r="Q2" s="40" t="s">
        <v>67</v>
      </c>
      <c r="R2" s="40" t="s">
        <v>68</v>
      </c>
      <c r="S2" s="40" t="s">
        <v>69</v>
      </c>
      <c r="T2" s="40" t="s">
        <v>70</v>
      </c>
      <c r="U2" s="40" t="s">
        <v>71</v>
      </c>
      <c r="V2" s="40" t="s">
        <v>72</v>
      </c>
    </row>
    <row r="3" spans="1:22" collapsed="1">
      <c r="A3" s="46" t="s">
        <v>114</v>
      </c>
      <c r="B3" s="27">
        <f>INDEX($B$5:$V$7, MATCH($A$3, $A$5:$A$7, 0),MATCH(B$1,$B$1:$V$1,0))</f>
        <v>45658</v>
      </c>
      <c r="C3" s="20">
        <f t="shared" ref="C3:V3" si="0">INDEX($B$5:$V$7, MATCH($A$3, $A$5:$A$7, 0),MATCH(C$1,$B$1:$V$1,0))</f>
        <v>12</v>
      </c>
      <c r="D3" s="20">
        <f t="shared" si="0"/>
        <v>10000</v>
      </c>
      <c r="E3" s="20">
        <f t="shared" si="0"/>
        <v>50</v>
      </c>
      <c r="F3" s="28">
        <f t="shared" si="0"/>
        <v>0.03</v>
      </c>
      <c r="G3" s="20">
        <f t="shared" si="0"/>
        <v>1</v>
      </c>
      <c r="H3" s="20">
        <f t="shared" si="0"/>
        <v>60</v>
      </c>
      <c r="I3" s="26">
        <f t="shared" si="0"/>
        <v>1</v>
      </c>
      <c r="J3" s="20">
        <f t="shared" si="0"/>
        <v>12</v>
      </c>
      <c r="K3" s="29">
        <f t="shared" si="0"/>
        <v>2.5000000000000001E-2</v>
      </c>
      <c r="L3" s="29">
        <f t="shared" si="0"/>
        <v>0.8</v>
      </c>
      <c r="M3" s="29">
        <f t="shared" si="0"/>
        <v>0.01</v>
      </c>
      <c r="N3" s="20">
        <f t="shared" si="0"/>
        <v>20</v>
      </c>
      <c r="O3" s="63">
        <f t="shared" si="0"/>
        <v>0.05</v>
      </c>
      <c r="P3" s="20">
        <f t="shared" si="0"/>
        <v>5</v>
      </c>
      <c r="Q3" s="20">
        <f t="shared" si="0"/>
        <v>5</v>
      </c>
      <c r="R3" s="20">
        <f t="shared" si="0"/>
        <v>5000000</v>
      </c>
      <c r="S3" s="30">
        <f t="shared" si="0"/>
        <v>0.05</v>
      </c>
      <c r="T3" s="63">
        <f t="shared" si="0"/>
        <v>0.02</v>
      </c>
      <c r="U3" s="20">
        <f t="shared" si="0"/>
        <v>0.5</v>
      </c>
      <c r="V3" s="63">
        <f t="shared" si="0"/>
        <v>5.5E-2</v>
      </c>
    </row>
    <row r="4" spans="1:22" customFormat="1" ht="13.5"/>
    <row r="5" spans="1:22" customFormat="1" ht="14.65">
      <c r="A5" s="39" t="s">
        <v>78</v>
      </c>
      <c r="B5" s="27">
        <v>45658</v>
      </c>
      <c r="C5" s="20">
        <v>12</v>
      </c>
      <c r="D5" s="36">
        <v>10000</v>
      </c>
      <c r="E5" s="20">
        <v>50</v>
      </c>
      <c r="F5" s="28">
        <v>0.03</v>
      </c>
      <c r="G5" s="20">
        <v>1</v>
      </c>
      <c r="H5" s="20">
        <v>60</v>
      </c>
      <c r="I5" s="26">
        <v>1</v>
      </c>
      <c r="J5" s="20">
        <v>12</v>
      </c>
      <c r="K5" s="29">
        <v>2.5000000000000001E-2</v>
      </c>
      <c r="L5" s="29">
        <v>0.8</v>
      </c>
      <c r="M5" s="29">
        <v>0.01</v>
      </c>
      <c r="N5" s="20">
        <v>20</v>
      </c>
      <c r="O5" s="37">
        <v>0.05</v>
      </c>
      <c r="P5" s="20">
        <v>5</v>
      </c>
      <c r="Q5" s="20">
        <v>5</v>
      </c>
      <c r="R5" s="36">
        <v>5000000</v>
      </c>
      <c r="S5" s="30">
        <v>0.05</v>
      </c>
      <c r="T5" s="37">
        <v>0.02</v>
      </c>
      <c r="U5" s="37">
        <v>0.5</v>
      </c>
      <c r="V5" s="37">
        <v>5.5E-2</v>
      </c>
    </row>
    <row r="6" spans="1:22">
      <c r="A6" s="21" t="s">
        <v>79</v>
      </c>
      <c r="B6" s="27">
        <f>$B$5</f>
        <v>45658</v>
      </c>
      <c r="C6" s="20">
        <f>$C$5</f>
        <v>12</v>
      </c>
      <c r="D6" s="36">
        <f>$D$5</f>
        <v>10000</v>
      </c>
      <c r="E6" s="20">
        <f>$E$5</f>
        <v>50</v>
      </c>
      <c r="F6" s="28">
        <v>0.05</v>
      </c>
      <c r="G6" s="20">
        <f>$G$5</f>
        <v>1</v>
      </c>
      <c r="H6" s="20">
        <f>$H$5</f>
        <v>60</v>
      </c>
      <c r="I6" s="26">
        <v>1</v>
      </c>
      <c r="J6" s="20">
        <f>$J$5</f>
        <v>12</v>
      </c>
      <c r="K6" s="29">
        <v>1.4999999999999999E-2</v>
      </c>
      <c r="L6" s="29">
        <v>0.9</v>
      </c>
      <c r="M6" s="29">
        <v>5.0000000000000001E-3</v>
      </c>
      <c r="N6" s="20">
        <f>$N$5</f>
        <v>20</v>
      </c>
      <c r="O6" s="37">
        <f>$O$5</f>
        <v>0.05</v>
      </c>
      <c r="P6" s="20">
        <f>$P$5</f>
        <v>5</v>
      </c>
      <c r="Q6" s="20">
        <f>$Q$5</f>
        <v>5</v>
      </c>
      <c r="R6" s="36">
        <f>$R$5</f>
        <v>5000000</v>
      </c>
      <c r="S6" s="30">
        <v>0.05</v>
      </c>
      <c r="T6" s="37">
        <f>$T$5</f>
        <v>0.02</v>
      </c>
      <c r="U6" s="37">
        <f>$U$5</f>
        <v>0.5</v>
      </c>
      <c r="V6" s="37">
        <f>$V$5</f>
        <v>5.5E-2</v>
      </c>
    </row>
    <row r="7" spans="1:22">
      <c r="A7" s="38" t="s">
        <v>80</v>
      </c>
      <c r="B7" s="27">
        <f>$B$5</f>
        <v>45658</v>
      </c>
      <c r="C7" s="20">
        <f>$C$5</f>
        <v>12</v>
      </c>
      <c r="D7" s="36">
        <f>$D$5</f>
        <v>10000</v>
      </c>
      <c r="E7" s="20">
        <f>$E$5</f>
        <v>50</v>
      </c>
      <c r="F7" s="28">
        <v>0</v>
      </c>
      <c r="G7" s="20">
        <f>$G$5</f>
        <v>1</v>
      </c>
      <c r="H7" s="20">
        <f>$H$5</f>
        <v>60</v>
      </c>
      <c r="I7" s="26">
        <v>2</v>
      </c>
      <c r="J7" s="20">
        <f>$J$5</f>
        <v>12</v>
      </c>
      <c r="K7" s="29">
        <v>3.5000000000000003E-2</v>
      </c>
      <c r="L7" s="29">
        <v>0.7</v>
      </c>
      <c r="M7" s="29">
        <v>0.02</v>
      </c>
      <c r="N7" s="20">
        <f>$N$5</f>
        <v>20</v>
      </c>
      <c r="O7" s="37">
        <f>$O$5</f>
        <v>0.05</v>
      </c>
      <c r="P7" s="20">
        <f>$P$5</f>
        <v>5</v>
      </c>
      <c r="Q7" s="20">
        <f>$Q$5</f>
        <v>5</v>
      </c>
      <c r="R7" s="36">
        <f>$R$5</f>
        <v>5000000</v>
      </c>
      <c r="S7" s="30">
        <v>0.06</v>
      </c>
      <c r="T7" s="37">
        <f>$T$5</f>
        <v>0.02</v>
      </c>
      <c r="U7" s="37">
        <f>$U$5</f>
        <v>0.5</v>
      </c>
      <c r="V7" s="37">
        <f>$V$5</f>
        <v>5.5E-2</v>
      </c>
    </row>
    <row r="8" spans="1:22" customFormat="1" ht="13.5"/>
    <row r="9" spans="1:22" customFormat="1" ht="13.5"/>
    <row r="10" spans="1:22">
      <c r="A10" s="47" t="s">
        <v>81</v>
      </c>
    </row>
    <row r="11" spans="1:22">
      <c r="A11" s="35" t="s">
        <v>98</v>
      </c>
      <c r="B11" s="27">
        <f t="shared" ref="B11:B26" si="1">$B$5</f>
        <v>45658</v>
      </c>
      <c r="C11" s="20">
        <f t="shared" ref="C11:C26" si="2">$C$5</f>
        <v>12</v>
      </c>
      <c r="D11" s="36">
        <f t="shared" ref="D11:D26" si="3">$D$5</f>
        <v>10000</v>
      </c>
      <c r="E11" s="20">
        <f t="shared" ref="E11:E26" si="4">$E$5</f>
        <v>50</v>
      </c>
      <c r="F11" s="28">
        <v>0</v>
      </c>
      <c r="G11" s="20">
        <f t="shared" ref="G11:G26" si="5">$G$5</f>
        <v>1</v>
      </c>
      <c r="H11" s="20">
        <f t="shared" ref="H11:H26" si="6">$H$5</f>
        <v>60</v>
      </c>
      <c r="I11" s="20">
        <f t="shared" ref="I11:I16" si="7">$I$5</f>
        <v>1</v>
      </c>
      <c r="J11" s="20">
        <f t="shared" ref="J11:J26" si="8">$J$5</f>
        <v>12</v>
      </c>
      <c r="K11" s="37">
        <f>$K$5</f>
        <v>2.5000000000000001E-2</v>
      </c>
      <c r="L11" s="37">
        <f>$L$5</f>
        <v>0.8</v>
      </c>
      <c r="M11" s="37">
        <f>$M$5</f>
        <v>0.01</v>
      </c>
      <c r="N11" s="20">
        <f t="shared" ref="N11:N26" si="9">$N$5</f>
        <v>20</v>
      </c>
      <c r="O11" s="37">
        <f t="shared" ref="O11:O26" si="10">$O$5</f>
        <v>0.05</v>
      </c>
      <c r="P11" s="20">
        <f t="shared" ref="P11:P26" si="11">$P$5</f>
        <v>5</v>
      </c>
      <c r="Q11" s="20">
        <f t="shared" ref="Q11:Q26" si="12">$Q$5</f>
        <v>5</v>
      </c>
      <c r="R11" s="36">
        <f t="shared" ref="R11:R26" si="13">$R$5</f>
        <v>5000000</v>
      </c>
      <c r="S11" s="37">
        <f>$S$5</f>
        <v>0.05</v>
      </c>
      <c r="T11" s="37">
        <f t="shared" ref="T11:T26" si="14">$T$5</f>
        <v>0.02</v>
      </c>
      <c r="U11" s="37">
        <f t="shared" ref="U11:U26" si="15">$U$5</f>
        <v>0.5</v>
      </c>
      <c r="V11" s="37">
        <f t="shared" ref="V11:V26" si="16">$V$5</f>
        <v>5.5E-2</v>
      </c>
    </row>
    <row r="12" spans="1:22" outlineLevel="1">
      <c r="A12" s="35" t="s">
        <v>99</v>
      </c>
      <c r="B12" s="27">
        <f t="shared" si="1"/>
        <v>45658</v>
      </c>
      <c r="C12" s="20">
        <f t="shared" si="2"/>
        <v>12</v>
      </c>
      <c r="D12" s="36">
        <f t="shared" si="3"/>
        <v>10000</v>
      </c>
      <c r="E12" s="20">
        <f t="shared" si="4"/>
        <v>50</v>
      </c>
      <c r="F12" s="28">
        <v>0.02</v>
      </c>
      <c r="G12" s="20">
        <f t="shared" si="5"/>
        <v>1</v>
      </c>
      <c r="H12" s="20">
        <f t="shared" si="6"/>
        <v>60</v>
      </c>
      <c r="I12" s="20">
        <f t="shared" si="7"/>
        <v>1</v>
      </c>
      <c r="J12" s="20">
        <f t="shared" si="8"/>
        <v>12</v>
      </c>
      <c r="K12" s="37">
        <f t="shared" ref="K12:K20" si="17">$K$5</f>
        <v>2.5000000000000001E-2</v>
      </c>
      <c r="L12" s="37">
        <f t="shared" ref="L12:L26" si="18">$L$5</f>
        <v>0.8</v>
      </c>
      <c r="M12" s="37">
        <f t="shared" ref="M12:M26" si="19">$M$5</f>
        <v>0.01</v>
      </c>
      <c r="N12" s="20">
        <f t="shared" si="9"/>
        <v>20</v>
      </c>
      <c r="O12" s="37">
        <f t="shared" si="10"/>
        <v>0.05</v>
      </c>
      <c r="P12" s="20">
        <f t="shared" si="11"/>
        <v>5</v>
      </c>
      <c r="Q12" s="20">
        <f t="shared" si="12"/>
        <v>5</v>
      </c>
      <c r="R12" s="36">
        <f t="shared" si="13"/>
        <v>5000000</v>
      </c>
      <c r="S12" s="37">
        <f t="shared" ref="S12:S23" si="20">$S$5</f>
        <v>0.05</v>
      </c>
      <c r="T12" s="37">
        <f t="shared" si="14"/>
        <v>0.02</v>
      </c>
      <c r="U12" s="37">
        <f t="shared" si="15"/>
        <v>0.5</v>
      </c>
      <c r="V12" s="37">
        <f t="shared" si="16"/>
        <v>5.5E-2</v>
      </c>
    </row>
    <row r="13" spans="1:22" outlineLevel="1">
      <c r="A13" s="35" t="s">
        <v>100</v>
      </c>
      <c r="B13" s="27">
        <f t="shared" si="1"/>
        <v>45658</v>
      </c>
      <c r="C13" s="20">
        <f t="shared" si="2"/>
        <v>12</v>
      </c>
      <c r="D13" s="36">
        <f t="shared" si="3"/>
        <v>10000</v>
      </c>
      <c r="E13" s="20">
        <f t="shared" si="4"/>
        <v>50</v>
      </c>
      <c r="F13" s="28">
        <v>0.03</v>
      </c>
      <c r="G13" s="20">
        <f t="shared" si="5"/>
        <v>1</v>
      </c>
      <c r="H13" s="20">
        <f t="shared" si="6"/>
        <v>60</v>
      </c>
      <c r="I13" s="20">
        <f t="shared" si="7"/>
        <v>1</v>
      </c>
      <c r="J13" s="20">
        <f t="shared" si="8"/>
        <v>12</v>
      </c>
      <c r="K13" s="37">
        <f t="shared" si="17"/>
        <v>2.5000000000000001E-2</v>
      </c>
      <c r="L13" s="37">
        <f t="shared" si="18"/>
        <v>0.8</v>
      </c>
      <c r="M13" s="37">
        <f t="shared" si="19"/>
        <v>0.01</v>
      </c>
      <c r="N13" s="20">
        <f t="shared" si="9"/>
        <v>20</v>
      </c>
      <c r="O13" s="37">
        <f t="shared" si="10"/>
        <v>0.05</v>
      </c>
      <c r="P13" s="20">
        <f t="shared" si="11"/>
        <v>5</v>
      </c>
      <c r="Q13" s="20">
        <f t="shared" si="12"/>
        <v>5</v>
      </c>
      <c r="R13" s="36">
        <f t="shared" si="13"/>
        <v>5000000</v>
      </c>
      <c r="S13" s="37">
        <f t="shared" si="20"/>
        <v>0.05</v>
      </c>
      <c r="T13" s="37">
        <f t="shared" si="14"/>
        <v>0.02</v>
      </c>
      <c r="U13" s="37">
        <f t="shared" si="15"/>
        <v>0.5</v>
      </c>
      <c r="V13" s="37">
        <f t="shared" si="16"/>
        <v>5.5E-2</v>
      </c>
    </row>
    <row r="14" spans="1:22" outlineLevel="1">
      <c r="A14" s="35" t="s">
        <v>101</v>
      </c>
      <c r="B14" s="27">
        <f t="shared" si="1"/>
        <v>45658</v>
      </c>
      <c r="C14" s="20">
        <f t="shared" si="2"/>
        <v>12</v>
      </c>
      <c r="D14" s="36">
        <f t="shared" si="3"/>
        <v>10000</v>
      </c>
      <c r="E14" s="20">
        <f t="shared" si="4"/>
        <v>50</v>
      </c>
      <c r="F14" s="28">
        <v>0.04</v>
      </c>
      <c r="G14" s="20">
        <f t="shared" si="5"/>
        <v>1</v>
      </c>
      <c r="H14" s="20">
        <f t="shared" si="6"/>
        <v>60</v>
      </c>
      <c r="I14" s="20">
        <f t="shared" si="7"/>
        <v>1</v>
      </c>
      <c r="J14" s="20">
        <f t="shared" si="8"/>
        <v>12</v>
      </c>
      <c r="K14" s="37">
        <f t="shared" si="17"/>
        <v>2.5000000000000001E-2</v>
      </c>
      <c r="L14" s="37">
        <f t="shared" si="18"/>
        <v>0.8</v>
      </c>
      <c r="M14" s="37">
        <f t="shared" si="19"/>
        <v>0.01</v>
      </c>
      <c r="N14" s="20">
        <f t="shared" si="9"/>
        <v>20</v>
      </c>
      <c r="O14" s="37">
        <f t="shared" si="10"/>
        <v>0.05</v>
      </c>
      <c r="P14" s="20">
        <f t="shared" si="11"/>
        <v>5</v>
      </c>
      <c r="Q14" s="20">
        <f t="shared" si="12"/>
        <v>5</v>
      </c>
      <c r="R14" s="36">
        <f t="shared" si="13"/>
        <v>5000000</v>
      </c>
      <c r="S14" s="37">
        <f t="shared" si="20"/>
        <v>0.05</v>
      </c>
      <c r="T14" s="37">
        <f t="shared" si="14"/>
        <v>0.02</v>
      </c>
      <c r="U14" s="37">
        <f t="shared" si="15"/>
        <v>0.5</v>
      </c>
      <c r="V14" s="37">
        <f t="shared" si="16"/>
        <v>5.5E-2</v>
      </c>
    </row>
    <row r="15" spans="1:22" outlineLevel="1">
      <c r="A15" s="35" t="s">
        <v>102</v>
      </c>
      <c r="B15" s="27">
        <f t="shared" si="1"/>
        <v>45658</v>
      </c>
      <c r="C15" s="20">
        <f t="shared" si="2"/>
        <v>12</v>
      </c>
      <c r="D15" s="36">
        <f t="shared" si="3"/>
        <v>10000</v>
      </c>
      <c r="E15" s="20">
        <f t="shared" si="4"/>
        <v>50</v>
      </c>
      <c r="F15" s="28">
        <v>0.05</v>
      </c>
      <c r="G15" s="20">
        <f t="shared" si="5"/>
        <v>1</v>
      </c>
      <c r="H15" s="20">
        <f t="shared" si="6"/>
        <v>60</v>
      </c>
      <c r="I15" s="20">
        <f t="shared" si="7"/>
        <v>1</v>
      </c>
      <c r="J15" s="20">
        <f t="shared" si="8"/>
        <v>12</v>
      </c>
      <c r="K15" s="37">
        <f t="shared" si="17"/>
        <v>2.5000000000000001E-2</v>
      </c>
      <c r="L15" s="37">
        <f t="shared" si="18"/>
        <v>0.8</v>
      </c>
      <c r="M15" s="37">
        <f t="shared" si="19"/>
        <v>0.01</v>
      </c>
      <c r="N15" s="20">
        <f t="shared" si="9"/>
        <v>20</v>
      </c>
      <c r="O15" s="37">
        <f t="shared" si="10"/>
        <v>0.05</v>
      </c>
      <c r="P15" s="20">
        <f t="shared" si="11"/>
        <v>5</v>
      </c>
      <c r="Q15" s="20">
        <f t="shared" si="12"/>
        <v>5</v>
      </c>
      <c r="R15" s="36">
        <f t="shared" si="13"/>
        <v>5000000</v>
      </c>
      <c r="S15" s="37">
        <f t="shared" si="20"/>
        <v>0.05</v>
      </c>
      <c r="T15" s="37">
        <f t="shared" si="14"/>
        <v>0.02</v>
      </c>
      <c r="U15" s="37">
        <f t="shared" si="15"/>
        <v>0.5</v>
      </c>
      <c r="V15" s="37">
        <f t="shared" si="16"/>
        <v>5.5E-2</v>
      </c>
    </row>
    <row r="16" spans="1:22" outlineLevel="1">
      <c r="A16" s="35" t="s">
        <v>103</v>
      </c>
      <c r="B16" s="27">
        <f t="shared" si="1"/>
        <v>45658</v>
      </c>
      <c r="C16" s="20">
        <f t="shared" si="2"/>
        <v>12</v>
      </c>
      <c r="D16" s="36">
        <f t="shared" si="3"/>
        <v>10000</v>
      </c>
      <c r="E16" s="20">
        <f t="shared" si="4"/>
        <v>50</v>
      </c>
      <c r="F16" s="28">
        <v>0.06</v>
      </c>
      <c r="G16" s="20">
        <f t="shared" si="5"/>
        <v>1</v>
      </c>
      <c r="H16" s="20">
        <f t="shared" si="6"/>
        <v>60</v>
      </c>
      <c r="I16" s="20">
        <f t="shared" si="7"/>
        <v>1</v>
      </c>
      <c r="J16" s="20">
        <f t="shared" si="8"/>
        <v>12</v>
      </c>
      <c r="K16" s="37">
        <f t="shared" si="17"/>
        <v>2.5000000000000001E-2</v>
      </c>
      <c r="L16" s="37">
        <f t="shared" si="18"/>
        <v>0.8</v>
      </c>
      <c r="M16" s="37">
        <f t="shared" si="19"/>
        <v>0.01</v>
      </c>
      <c r="N16" s="20">
        <f t="shared" si="9"/>
        <v>20</v>
      </c>
      <c r="O16" s="37">
        <f t="shared" si="10"/>
        <v>0.05</v>
      </c>
      <c r="P16" s="20">
        <f t="shared" si="11"/>
        <v>5</v>
      </c>
      <c r="Q16" s="20">
        <f t="shared" si="12"/>
        <v>5</v>
      </c>
      <c r="R16" s="36">
        <f t="shared" si="13"/>
        <v>5000000</v>
      </c>
      <c r="S16" s="37">
        <f t="shared" si="20"/>
        <v>0.05</v>
      </c>
      <c r="T16" s="37">
        <f t="shared" si="14"/>
        <v>0.02</v>
      </c>
      <c r="U16" s="37">
        <f t="shared" si="15"/>
        <v>0.5</v>
      </c>
      <c r="V16" s="37">
        <f t="shared" si="16"/>
        <v>5.5E-2</v>
      </c>
    </row>
    <row r="17" spans="1:22">
      <c r="A17" s="35" t="s">
        <v>104</v>
      </c>
      <c r="B17" s="27">
        <f t="shared" si="1"/>
        <v>45658</v>
      </c>
      <c r="C17" s="20">
        <f t="shared" si="2"/>
        <v>12</v>
      </c>
      <c r="D17" s="36">
        <f t="shared" si="3"/>
        <v>10000</v>
      </c>
      <c r="E17" s="20">
        <f t="shared" si="4"/>
        <v>50</v>
      </c>
      <c r="F17" s="37">
        <f>$F$5</f>
        <v>0.03</v>
      </c>
      <c r="G17" s="20">
        <f t="shared" si="5"/>
        <v>1</v>
      </c>
      <c r="H17" s="20">
        <f t="shared" si="6"/>
        <v>60</v>
      </c>
      <c r="I17" s="26">
        <v>0</v>
      </c>
      <c r="J17" s="20">
        <f t="shared" si="8"/>
        <v>12</v>
      </c>
      <c r="K17" s="37">
        <f t="shared" si="17"/>
        <v>2.5000000000000001E-2</v>
      </c>
      <c r="L17" s="37">
        <f t="shared" si="18"/>
        <v>0.8</v>
      </c>
      <c r="M17" s="37">
        <f t="shared" si="19"/>
        <v>0.01</v>
      </c>
      <c r="N17" s="20">
        <f t="shared" si="9"/>
        <v>20</v>
      </c>
      <c r="O17" s="37">
        <f t="shared" si="10"/>
        <v>0.05</v>
      </c>
      <c r="P17" s="20">
        <f t="shared" si="11"/>
        <v>5</v>
      </c>
      <c r="Q17" s="20">
        <f t="shared" si="12"/>
        <v>5</v>
      </c>
      <c r="R17" s="36">
        <f t="shared" si="13"/>
        <v>5000000</v>
      </c>
      <c r="S17" s="37">
        <f t="shared" si="20"/>
        <v>0.05</v>
      </c>
      <c r="T17" s="37">
        <f t="shared" si="14"/>
        <v>0.02</v>
      </c>
      <c r="U17" s="37">
        <f t="shared" si="15"/>
        <v>0.5</v>
      </c>
      <c r="V17" s="37">
        <f t="shared" si="16"/>
        <v>5.5E-2</v>
      </c>
    </row>
    <row r="18" spans="1:22" outlineLevel="1">
      <c r="A18" s="35" t="s">
        <v>105</v>
      </c>
      <c r="B18" s="27">
        <f t="shared" si="1"/>
        <v>45658</v>
      </c>
      <c r="C18" s="20">
        <f t="shared" si="2"/>
        <v>12</v>
      </c>
      <c r="D18" s="36">
        <f t="shared" si="3"/>
        <v>10000</v>
      </c>
      <c r="E18" s="20">
        <f t="shared" si="4"/>
        <v>50</v>
      </c>
      <c r="F18" s="37">
        <f t="shared" ref="F18:F26" si="21">$F$5</f>
        <v>0.03</v>
      </c>
      <c r="G18" s="20">
        <f t="shared" si="5"/>
        <v>1</v>
      </c>
      <c r="H18" s="20">
        <f t="shared" si="6"/>
        <v>60</v>
      </c>
      <c r="I18" s="26">
        <v>1</v>
      </c>
      <c r="J18" s="20">
        <f t="shared" si="8"/>
        <v>12</v>
      </c>
      <c r="K18" s="37">
        <f t="shared" si="17"/>
        <v>2.5000000000000001E-2</v>
      </c>
      <c r="L18" s="37">
        <f t="shared" si="18"/>
        <v>0.8</v>
      </c>
      <c r="M18" s="37">
        <f t="shared" si="19"/>
        <v>0.01</v>
      </c>
      <c r="N18" s="20">
        <f t="shared" si="9"/>
        <v>20</v>
      </c>
      <c r="O18" s="37">
        <f t="shared" si="10"/>
        <v>0.05</v>
      </c>
      <c r="P18" s="20">
        <f t="shared" si="11"/>
        <v>5</v>
      </c>
      <c r="Q18" s="20">
        <f t="shared" si="12"/>
        <v>5</v>
      </c>
      <c r="R18" s="36">
        <f t="shared" si="13"/>
        <v>5000000</v>
      </c>
      <c r="S18" s="37">
        <f t="shared" si="20"/>
        <v>0.05</v>
      </c>
      <c r="T18" s="37">
        <f t="shared" si="14"/>
        <v>0.02</v>
      </c>
      <c r="U18" s="37">
        <f t="shared" si="15"/>
        <v>0.5</v>
      </c>
      <c r="V18" s="37">
        <f t="shared" si="16"/>
        <v>5.5E-2</v>
      </c>
    </row>
    <row r="19" spans="1:22" outlineLevel="1">
      <c r="A19" s="35" t="s">
        <v>106</v>
      </c>
      <c r="B19" s="27">
        <f t="shared" si="1"/>
        <v>45658</v>
      </c>
      <c r="C19" s="20">
        <f t="shared" si="2"/>
        <v>12</v>
      </c>
      <c r="D19" s="36">
        <f t="shared" si="3"/>
        <v>10000</v>
      </c>
      <c r="E19" s="20">
        <f t="shared" si="4"/>
        <v>50</v>
      </c>
      <c r="F19" s="37">
        <f t="shared" si="21"/>
        <v>0.03</v>
      </c>
      <c r="G19" s="20">
        <f t="shared" si="5"/>
        <v>1</v>
      </c>
      <c r="H19" s="20">
        <f t="shared" si="6"/>
        <v>60</v>
      </c>
      <c r="I19" s="26">
        <v>2</v>
      </c>
      <c r="J19" s="20">
        <f t="shared" si="8"/>
        <v>12</v>
      </c>
      <c r="K19" s="37">
        <f t="shared" si="17"/>
        <v>2.5000000000000001E-2</v>
      </c>
      <c r="L19" s="37">
        <f t="shared" si="18"/>
        <v>0.8</v>
      </c>
      <c r="M19" s="37">
        <f t="shared" si="19"/>
        <v>0.01</v>
      </c>
      <c r="N19" s="20">
        <f t="shared" si="9"/>
        <v>20</v>
      </c>
      <c r="O19" s="37">
        <f t="shared" si="10"/>
        <v>0.05</v>
      </c>
      <c r="P19" s="20">
        <f t="shared" si="11"/>
        <v>5</v>
      </c>
      <c r="Q19" s="20">
        <f t="shared" si="12"/>
        <v>5</v>
      </c>
      <c r="R19" s="36">
        <f t="shared" si="13"/>
        <v>5000000</v>
      </c>
      <c r="S19" s="37">
        <f t="shared" si="20"/>
        <v>0.05</v>
      </c>
      <c r="T19" s="37">
        <f t="shared" si="14"/>
        <v>0.02</v>
      </c>
      <c r="U19" s="37">
        <f t="shared" si="15"/>
        <v>0.5</v>
      </c>
      <c r="V19" s="37">
        <f t="shared" si="16"/>
        <v>5.5E-2</v>
      </c>
    </row>
    <row r="20" spans="1:22" outlineLevel="1">
      <c r="A20" s="35" t="s">
        <v>107</v>
      </c>
      <c r="B20" s="27">
        <f t="shared" si="1"/>
        <v>45658</v>
      </c>
      <c r="C20" s="20">
        <f t="shared" si="2"/>
        <v>12</v>
      </c>
      <c r="D20" s="36">
        <f t="shared" si="3"/>
        <v>10000</v>
      </c>
      <c r="E20" s="20">
        <f t="shared" si="4"/>
        <v>50</v>
      </c>
      <c r="F20" s="37">
        <f t="shared" si="21"/>
        <v>0.03</v>
      </c>
      <c r="G20" s="20">
        <f t="shared" si="5"/>
        <v>1</v>
      </c>
      <c r="H20" s="20">
        <f t="shared" si="6"/>
        <v>60</v>
      </c>
      <c r="I20" s="26">
        <v>3</v>
      </c>
      <c r="J20" s="20">
        <f t="shared" si="8"/>
        <v>12</v>
      </c>
      <c r="K20" s="37">
        <f t="shared" si="17"/>
        <v>2.5000000000000001E-2</v>
      </c>
      <c r="L20" s="37">
        <f t="shared" si="18"/>
        <v>0.8</v>
      </c>
      <c r="M20" s="37">
        <f t="shared" si="19"/>
        <v>0.01</v>
      </c>
      <c r="N20" s="20">
        <f t="shared" si="9"/>
        <v>20</v>
      </c>
      <c r="O20" s="37">
        <f t="shared" si="10"/>
        <v>0.05</v>
      </c>
      <c r="P20" s="20">
        <f t="shared" si="11"/>
        <v>5</v>
      </c>
      <c r="Q20" s="20">
        <f t="shared" si="12"/>
        <v>5</v>
      </c>
      <c r="R20" s="36">
        <f t="shared" si="13"/>
        <v>5000000</v>
      </c>
      <c r="S20" s="37">
        <f t="shared" si="20"/>
        <v>0.05</v>
      </c>
      <c r="T20" s="37">
        <f t="shared" si="14"/>
        <v>0.02</v>
      </c>
      <c r="U20" s="37">
        <f t="shared" si="15"/>
        <v>0.5</v>
      </c>
      <c r="V20" s="37">
        <f t="shared" si="16"/>
        <v>5.5E-2</v>
      </c>
    </row>
    <row r="21" spans="1:22">
      <c r="A21" s="35" t="s">
        <v>108</v>
      </c>
      <c r="B21" s="27">
        <f t="shared" si="1"/>
        <v>45658</v>
      </c>
      <c r="C21" s="20">
        <f t="shared" si="2"/>
        <v>12</v>
      </c>
      <c r="D21" s="36">
        <f t="shared" si="3"/>
        <v>10000</v>
      </c>
      <c r="E21" s="20">
        <f t="shared" si="4"/>
        <v>50</v>
      </c>
      <c r="F21" s="37">
        <f t="shared" si="21"/>
        <v>0.03</v>
      </c>
      <c r="G21" s="20">
        <f t="shared" si="5"/>
        <v>1</v>
      </c>
      <c r="H21" s="20">
        <f t="shared" si="6"/>
        <v>60</v>
      </c>
      <c r="I21" s="20">
        <f t="shared" ref="I21:I26" si="22">$I$5</f>
        <v>1</v>
      </c>
      <c r="J21" s="20">
        <f t="shared" si="8"/>
        <v>12</v>
      </c>
      <c r="K21" s="29">
        <v>1.4999999999999999E-2</v>
      </c>
      <c r="L21" s="37">
        <f t="shared" si="18"/>
        <v>0.8</v>
      </c>
      <c r="M21" s="37">
        <f t="shared" si="19"/>
        <v>0.01</v>
      </c>
      <c r="N21" s="20">
        <f t="shared" si="9"/>
        <v>20</v>
      </c>
      <c r="O21" s="37">
        <f t="shared" si="10"/>
        <v>0.05</v>
      </c>
      <c r="P21" s="20">
        <f t="shared" si="11"/>
        <v>5</v>
      </c>
      <c r="Q21" s="20">
        <f t="shared" si="12"/>
        <v>5</v>
      </c>
      <c r="R21" s="36">
        <f t="shared" si="13"/>
        <v>5000000</v>
      </c>
      <c r="S21" s="37">
        <f t="shared" si="20"/>
        <v>0.05</v>
      </c>
      <c r="T21" s="37">
        <f t="shared" si="14"/>
        <v>0.02</v>
      </c>
      <c r="U21" s="37">
        <f t="shared" si="15"/>
        <v>0.5</v>
      </c>
      <c r="V21" s="37">
        <f t="shared" si="16"/>
        <v>5.5E-2</v>
      </c>
    </row>
    <row r="22" spans="1:22" outlineLevel="1">
      <c r="A22" s="35" t="s">
        <v>109</v>
      </c>
      <c r="B22" s="27">
        <f t="shared" si="1"/>
        <v>45658</v>
      </c>
      <c r="C22" s="20">
        <f t="shared" si="2"/>
        <v>12</v>
      </c>
      <c r="D22" s="36">
        <f t="shared" si="3"/>
        <v>10000</v>
      </c>
      <c r="E22" s="20">
        <f t="shared" si="4"/>
        <v>50</v>
      </c>
      <c r="F22" s="37">
        <f t="shared" si="21"/>
        <v>0.03</v>
      </c>
      <c r="G22" s="20">
        <f t="shared" si="5"/>
        <v>1</v>
      </c>
      <c r="H22" s="20">
        <f t="shared" si="6"/>
        <v>60</v>
      </c>
      <c r="I22" s="20">
        <f t="shared" si="22"/>
        <v>1</v>
      </c>
      <c r="J22" s="20">
        <f t="shared" si="8"/>
        <v>12</v>
      </c>
      <c r="K22" s="29">
        <v>2.5000000000000001E-2</v>
      </c>
      <c r="L22" s="37">
        <f t="shared" si="18"/>
        <v>0.8</v>
      </c>
      <c r="M22" s="37">
        <f t="shared" si="19"/>
        <v>0.01</v>
      </c>
      <c r="N22" s="20">
        <f t="shared" si="9"/>
        <v>20</v>
      </c>
      <c r="O22" s="37">
        <f t="shared" si="10"/>
        <v>0.05</v>
      </c>
      <c r="P22" s="20">
        <f t="shared" si="11"/>
        <v>5</v>
      </c>
      <c r="Q22" s="20">
        <f t="shared" si="12"/>
        <v>5</v>
      </c>
      <c r="R22" s="36">
        <f t="shared" si="13"/>
        <v>5000000</v>
      </c>
      <c r="S22" s="37">
        <f t="shared" si="20"/>
        <v>0.05</v>
      </c>
      <c r="T22" s="37">
        <f t="shared" si="14"/>
        <v>0.02</v>
      </c>
      <c r="U22" s="37">
        <f t="shared" si="15"/>
        <v>0.5</v>
      </c>
      <c r="V22" s="37">
        <f t="shared" si="16"/>
        <v>5.5E-2</v>
      </c>
    </row>
    <row r="23" spans="1:22" outlineLevel="1">
      <c r="A23" s="35" t="s">
        <v>110</v>
      </c>
      <c r="B23" s="27">
        <f t="shared" si="1"/>
        <v>45658</v>
      </c>
      <c r="C23" s="20">
        <f t="shared" si="2"/>
        <v>12</v>
      </c>
      <c r="D23" s="36">
        <f t="shared" si="3"/>
        <v>10000</v>
      </c>
      <c r="E23" s="20">
        <f t="shared" si="4"/>
        <v>50</v>
      </c>
      <c r="F23" s="37">
        <f t="shared" si="21"/>
        <v>0.03</v>
      </c>
      <c r="G23" s="20">
        <f t="shared" si="5"/>
        <v>1</v>
      </c>
      <c r="H23" s="20">
        <f t="shared" si="6"/>
        <v>60</v>
      </c>
      <c r="I23" s="20">
        <f t="shared" si="22"/>
        <v>1</v>
      </c>
      <c r="J23" s="20">
        <f t="shared" si="8"/>
        <v>12</v>
      </c>
      <c r="K23" s="29">
        <v>3.5000000000000003E-2</v>
      </c>
      <c r="L23" s="37">
        <f t="shared" si="18"/>
        <v>0.8</v>
      </c>
      <c r="M23" s="37">
        <f t="shared" si="19"/>
        <v>0.01</v>
      </c>
      <c r="N23" s="20">
        <f t="shared" si="9"/>
        <v>20</v>
      </c>
      <c r="O23" s="37">
        <f t="shared" si="10"/>
        <v>0.05</v>
      </c>
      <c r="P23" s="20">
        <f t="shared" si="11"/>
        <v>5</v>
      </c>
      <c r="Q23" s="20">
        <f t="shared" si="12"/>
        <v>5</v>
      </c>
      <c r="R23" s="36">
        <f t="shared" si="13"/>
        <v>5000000</v>
      </c>
      <c r="S23" s="37">
        <f t="shared" si="20"/>
        <v>0.05</v>
      </c>
      <c r="T23" s="37">
        <f t="shared" si="14"/>
        <v>0.02</v>
      </c>
      <c r="U23" s="37">
        <f t="shared" si="15"/>
        <v>0.5</v>
      </c>
      <c r="V23" s="37">
        <f t="shared" si="16"/>
        <v>5.5E-2</v>
      </c>
    </row>
    <row r="24" spans="1:22" outlineLevel="1">
      <c r="A24" s="35" t="s">
        <v>111</v>
      </c>
      <c r="B24" s="27">
        <f t="shared" si="1"/>
        <v>45658</v>
      </c>
      <c r="C24" s="20">
        <f t="shared" si="2"/>
        <v>12</v>
      </c>
      <c r="D24" s="36">
        <f t="shared" si="3"/>
        <v>10000</v>
      </c>
      <c r="E24" s="20">
        <f t="shared" si="4"/>
        <v>50</v>
      </c>
      <c r="F24" s="37">
        <f t="shared" si="21"/>
        <v>0.03</v>
      </c>
      <c r="G24" s="20">
        <f t="shared" si="5"/>
        <v>1</v>
      </c>
      <c r="H24" s="20">
        <f t="shared" si="6"/>
        <v>60</v>
      </c>
      <c r="I24" s="20">
        <f t="shared" si="22"/>
        <v>1</v>
      </c>
      <c r="J24" s="20">
        <f t="shared" si="8"/>
        <v>12</v>
      </c>
      <c r="K24" s="37">
        <f>$K$5</f>
        <v>2.5000000000000001E-2</v>
      </c>
      <c r="L24" s="37">
        <f t="shared" si="18"/>
        <v>0.8</v>
      </c>
      <c r="M24" s="37">
        <f t="shared" si="19"/>
        <v>0.01</v>
      </c>
      <c r="N24" s="20">
        <f t="shared" si="9"/>
        <v>20</v>
      </c>
      <c r="O24" s="37">
        <f t="shared" si="10"/>
        <v>0.05</v>
      </c>
      <c r="P24" s="20">
        <f t="shared" si="11"/>
        <v>5</v>
      </c>
      <c r="Q24" s="20">
        <f t="shared" si="12"/>
        <v>5</v>
      </c>
      <c r="R24" s="36">
        <f t="shared" si="13"/>
        <v>5000000</v>
      </c>
      <c r="S24" s="30">
        <v>0.04</v>
      </c>
      <c r="T24" s="37">
        <f t="shared" si="14"/>
        <v>0.02</v>
      </c>
      <c r="U24" s="37">
        <f t="shared" si="15"/>
        <v>0.5</v>
      </c>
      <c r="V24" s="37">
        <f t="shared" si="16"/>
        <v>5.5E-2</v>
      </c>
    </row>
    <row r="25" spans="1:22" outlineLevel="1">
      <c r="A25" s="35" t="s">
        <v>112</v>
      </c>
      <c r="B25" s="27">
        <f t="shared" si="1"/>
        <v>45658</v>
      </c>
      <c r="C25" s="20">
        <f t="shared" si="2"/>
        <v>12</v>
      </c>
      <c r="D25" s="36">
        <f t="shared" si="3"/>
        <v>10000</v>
      </c>
      <c r="E25" s="20">
        <f t="shared" si="4"/>
        <v>50</v>
      </c>
      <c r="F25" s="37">
        <f t="shared" si="21"/>
        <v>0.03</v>
      </c>
      <c r="G25" s="20">
        <f t="shared" si="5"/>
        <v>1</v>
      </c>
      <c r="H25" s="20">
        <f t="shared" si="6"/>
        <v>60</v>
      </c>
      <c r="I25" s="20">
        <f t="shared" si="22"/>
        <v>1</v>
      </c>
      <c r="J25" s="20">
        <f t="shared" si="8"/>
        <v>12</v>
      </c>
      <c r="K25" s="37">
        <f>$K$5</f>
        <v>2.5000000000000001E-2</v>
      </c>
      <c r="L25" s="37">
        <f t="shared" si="18"/>
        <v>0.8</v>
      </c>
      <c r="M25" s="37">
        <f t="shared" si="19"/>
        <v>0.01</v>
      </c>
      <c r="N25" s="20">
        <f t="shared" si="9"/>
        <v>20</v>
      </c>
      <c r="O25" s="37">
        <f t="shared" si="10"/>
        <v>0.05</v>
      </c>
      <c r="P25" s="20">
        <f t="shared" si="11"/>
        <v>5</v>
      </c>
      <c r="Q25" s="20">
        <f t="shared" si="12"/>
        <v>5</v>
      </c>
      <c r="R25" s="36">
        <f t="shared" si="13"/>
        <v>5000000</v>
      </c>
      <c r="S25" s="30">
        <v>0.05</v>
      </c>
      <c r="T25" s="37">
        <f t="shared" si="14"/>
        <v>0.02</v>
      </c>
      <c r="U25" s="37">
        <f t="shared" si="15"/>
        <v>0.5</v>
      </c>
      <c r="V25" s="37">
        <f t="shared" si="16"/>
        <v>5.5E-2</v>
      </c>
    </row>
    <row r="26" spans="1:22">
      <c r="A26" s="35" t="s">
        <v>113</v>
      </c>
      <c r="B26" s="27">
        <f t="shared" si="1"/>
        <v>45658</v>
      </c>
      <c r="C26" s="20">
        <f t="shared" si="2"/>
        <v>12</v>
      </c>
      <c r="D26" s="36">
        <f t="shared" si="3"/>
        <v>10000</v>
      </c>
      <c r="E26" s="20">
        <f t="shared" si="4"/>
        <v>50</v>
      </c>
      <c r="F26" s="37">
        <f t="shared" si="21"/>
        <v>0.03</v>
      </c>
      <c r="G26" s="20">
        <f t="shared" si="5"/>
        <v>1</v>
      </c>
      <c r="H26" s="20">
        <f t="shared" si="6"/>
        <v>60</v>
      </c>
      <c r="I26" s="20">
        <f t="shared" si="22"/>
        <v>1</v>
      </c>
      <c r="J26" s="20">
        <f t="shared" si="8"/>
        <v>12</v>
      </c>
      <c r="K26" s="37">
        <f>$K$5</f>
        <v>2.5000000000000001E-2</v>
      </c>
      <c r="L26" s="37">
        <f t="shared" si="18"/>
        <v>0.8</v>
      </c>
      <c r="M26" s="37">
        <f t="shared" si="19"/>
        <v>0.01</v>
      </c>
      <c r="N26" s="20">
        <f t="shared" si="9"/>
        <v>20</v>
      </c>
      <c r="O26" s="37">
        <f t="shared" si="10"/>
        <v>0.05</v>
      </c>
      <c r="P26" s="20">
        <f t="shared" si="11"/>
        <v>5</v>
      </c>
      <c r="Q26" s="20">
        <f t="shared" si="12"/>
        <v>5</v>
      </c>
      <c r="R26" s="36">
        <f t="shared" si="13"/>
        <v>5000000</v>
      </c>
      <c r="S26" s="30">
        <v>0.06</v>
      </c>
      <c r="T26" s="37">
        <f t="shared" si="14"/>
        <v>0.02</v>
      </c>
      <c r="U26" s="37">
        <f t="shared" si="15"/>
        <v>0.5</v>
      </c>
      <c r="V26" s="37">
        <f t="shared" si="16"/>
        <v>5.5E-2</v>
      </c>
    </row>
    <row r="28" spans="1:22" ht="14.65">
      <c r="F28"/>
      <c r="G28" s="1" t="s">
        <v>193</v>
      </c>
      <c r="H28" s="1" t="s">
        <v>194</v>
      </c>
      <c r="J28" s="1" t="s">
        <v>193</v>
      </c>
      <c r="K28" s="1" t="s">
        <v>194</v>
      </c>
      <c r="M28" s="1" t="s">
        <v>193</v>
      </c>
      <c r="N28" s="1" t="s">
        <v>194</v>
      </c>
      <c r="T28" s="1" t="s">
        <v>193</v>
      </c>
      <c r="U28" s="1" t="s">
        <v>194</v>
      </c>
    </row>
    <row r="29" spans="1:22" ht="14.65">
      <c r="F29"/>
      <c r="G29" s="57">
        <f>Summary!L14</f>
        <v>386003.4669937343</v>
      </c>
      <c r="H29" s="57">
        <f>Summary!Q14</f>
        <v>8920.1336604010539</v>
      </c>
      <c r="J29" s="57">
        <f>Summary!L14</f>
        <v>386003.4669937343</v>
      </c>
      <c r="K29" s="57">
        <f>Summary!Q14</f>
        <v>8920.1336604010539</v>
      </c>
      <c r="M29" s="57">
        <f>Summary!L14</f>
        <v>386003.4669937343</v>
      </c>
      <c r="N29" s="57">
        <f>Summary!Q14</f>
        <v>8920.1336604010539</v>
      </c>
      <c r="T29" s="57">
        <f>Summary!L14</f>
        <v>386003.4669937343</v>
      </c>
      <c r="U29" s="57">
        <f>Summary!Q14</f>
        <v>8920.1336604010539</v>
      </c>
    </row>
    <row r="30" spans="1:22">
      <c r="F30" s="28">
        <v>0</v>
      </c>
      <c r="G30" s="58">
        <f t="dataTable" ref="G30:H35" dt2D="0" dtr="0" r1="F3"/>
        <v>379335.27508603054</v>
      </c>
      <c r="H30" s="58">
        <v>2251.9417526972138</v>
      </c>
      <c r="I30" s="26">
        <v>0</v>
      </c>
      <c r="J30" s="1">
        <f t="dataTable" ref="J30:K33" dt2D="0" dtr="0" r1="I3" ca="1"/>
        <v>435275.20062184188</v>
      </c>
      <c r="K30" s="1">
        <v>58191.867288508583</v>
      </c>
      <c r="L30" s="29">
        <v>1.4999999999999999E-2</v>
      </c>
      <c r="M30" s="1">
        <f t="dataTable" ref="M30:N32" dt2D="0" dtr="0" r1="K3" ca="1"/>
        <v>386117.05320483155</v>
      </c>
      <c r="N30" s="1">
        <v>9033.7198714982551</v>
      </c>
      <c r="S30" s="30">
        <v>0.03</v>
      </c>
      <c r="T30" s="1">
        <f t="dataTable" ref="T30:U34" dt2D="0" dtr="0" r1="S3" ca="1"/>
        <v>386003.4669937343</v>
      </c>
      <c r="U30" s="1">
        <v>58920.133660401058</v>
      </c>
    </row>
    <row r="31" spans="1:22">
      <c r="F31" s="28">
        <v>0.02</v>
      </c>
      <c r="G31" s="58">
        <v>383788.42374912841</v>
      </c>
      <c r="H31" s="58">
        <v>6705.0904157950608</v>
      </c>
      <c r="I31" s="26">
        <v>1</v>
      </c>
      <c r="J31" s="1">
        <v>386003.4669937343</v>
      </c>
      <c r="K31" s="1">
        <v>8920.1336604010539</v>
      </c>
      <c r="L31" s="29">
        <v>2.5000000000000001E-2</v>
      </c>
      <c r="M31" s="1">
        <v>386003.4669937343</v>
      </c>
      <c r="N31" s="1">
        <v>8920.1336604010539</v>
      </c>
      <c r="S31" s="30">
        <v>0.04</v>
      </c>
      <c r="T31" s="1">
        <v>386003.4669937343</v>
      </c>
      <c r="U31" s="1">
        <v>33920.133660401072</v>
      </c>
    </row>
    <row r="32" spans="1:22">
      <c r="F32" s="28">
        <v>0.03</v>
      </c>
      <c r="G32" s="58">
        <v>386003.4669937343</v>
      </c>
      <c r="H32" s="58">
        <v>8920.1336604010539</v>
      </c>
      <c r="I32" s="26">
        <v>2</v>
      </c>
      <c r="J32" s="1">
        <v>336613.4349316904</v>
      </c>
      <c r="K32" s="1">
        <v>-40469.89840164296</v>
      </c>
      <c r="L32" s="29">
        <v>3.5000000000000003E-2</v>
      </c>
      <c r="M32" s="1">
        <v>385890.27889034234</v>
      </c>
      <c r="N32" s="1">
        <v>8806.9455570089885</v>
      </c>
      <c r="S32" s="30">
        <v>0.05</v>
      </c>
      <c r="T32" s="1">
        <v>386003.4669937343</v>
      </c>
      <c r="U32" s="1">
        <v>8920.1336604010539</v>
      </c>
    </row>
    <row r="33" spans="6:21">
      <c r="F33" s="28">
        <v>0.04</v>
      </c>
      <c r="G33" s="58">
        <v>388210.97020630114</v>
      </c>
      <c r="H33" s="58">
        <v>11127.636872967803</v>
      </c>
      <c r="I33" s="26">
        <v>3</v>
      </c>
      <c r="J33" s="1">
        <v>287104.81931037497</v>
      </c>
      <c r="K33" s="1">
        <v>-89978.514022958407</v>
      </c>
      <c r="S33" s="30">
        <v>0.06</v>
      </c>
      <c r="T33" s="1">
        <v>386003.4669937343</v>
      </c>
      <c r="U33" s="1">
        <v>-16079.866339598935</v>
      </c>
    </row>
    <row r="34" spans="6:21">
      <c r="F34" s="28">
        <v>0.05</v>
      </c>
      <c r="G34" s="58">
        <v>390411.04057584278</v>
      </c>
      <c r="H34" s="58">
        <v>13327.707242509485</v>
      </c>
      <c r="S34" s="30">
        <v>7.0000000000000007E-2</v>
      </c>
      <c r="T34" s="1">
        <v>386003.4669937343</v>
      </c>
      <c r="U34" s="1">
        <v>-41079.866339599001</v>
      </c>
    </row>
    <row r="35" spans="6:21">
      <c r="F35" s="28">
        <v>0.06</v>
      </c>
      <c r="G35" s="58">
        <v>392603.78273424326</v>
      </c>
      <c r="H35" s="58">
        <v>15520.449400909973</v>
      </c>
    </row>
  </sheetData>
  <phoneticPr fontId="1" type="noConversion"/>
  <dataValidations count="1">
    <dataValidation type="list" allowBlank="1" showInputMessage="1" showErrorMessage="1" sqref="A3" xr:uid="{CB2B569C-2883-4BC5-88C6-6A7280D8F659}">
      <formula1>"Base,Upside,Downside"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93FCF-F139-4587-ADE9-001EB37D75B2}">
  <dimension ref="A1:R44"/>
  <sheetViews>
    <sheetView zoomScale="70" zoomScaleNormal="70" workbookViewId="0">
      <selection activeCell="E24" sqref="E24"/>
    </sheetView>
  </sheetViews>
  <sheetFormatPr defaultRowHeight="14.25" outlineLevelCol="1"/>
  <cols>
    <col min="1" max="1" width="16.9296875" style="1" customWidth="1"/>
    <col min="2" max="2" width="13.06640625" style="1" customWidth="1"/>
    <col min="3" max="3" width="13.86328125" style="1" customWidth="1" outlineLevel="1"/>
    <col min="4" max="4" width="9.86328125" style="1" customWidth="1"/>
    <col min="5" max="5" width="9.86328125" style="1" customWidth="1" outlineLevel="1"/>
    <col min="6" max="6" width="12.53125" style="1" customWidth="1" outlineLevel="1"/>
    <col min="7" max="7" width="11.19921875" style="1" customWidth="1"/>
    <col min="8" max="8" width="15.33203125" style="1" customWidth="1"/>
    <col min="9" max="9" width="10.53125" style="1" customWidth="1" outlineLevel="1"/>
    <col min="10" max="10" width="11.3984375" style="1" customWidth="1"/>
    <col min="11" max="11" width="11.46484375" style="1" customWidth="1"/>
    <col min="12" max="12" width="15.06640625" style="1" customWidth="1"/>
    <col min="13" max="13" width="10" style="1" customWidth="1" outlineLevel="1"/>
    <col min="14" max="14" width="10.3984375" style="1" customWidth="1" outlineLevel="1"/>
    <col min="15" max="15" width="10.796875" style="1" customWidth="1"/>
    <col min="16" max="16" width="16.1328125" style="1" customWidth="1"/>
    <col min="17" max="17" width="10.73046875" style="1" customWidth="1"/>
    <col min="18" max="18" width="9.73046875" style="1" customWidth="1"/>
    <col min="19" max="19" width="11" style="1" bestFit="1" customWidth="1"/>
    <col min="20" max="22" width="12.59765625" style="1" bestFit="1" customWidth="1"/>
    <col min="23" max="28" width="12.33203125" style="1" customWidth="1"/>
    <col min="29" max="29" width="10.86328125" style="1" customWidth="1"/>
    <col min="30" max="30" width="11.73046875" style="1" customWidth="1"/>
    <col min="31" max="31" width="10.6640625" style="1" customWidth="1"/>
    <col min="32" max="32" width="11.6640625" style="1" customWidth="1"/>
    <col min="33" max="42" width="14.265625" style="1" customWidth="1"/>
    <col min="43" max="43" width="10.19921875" style="1" customWidth="1"/>
    <col min="44" max="44" width="9.3984375" style="1" bestFit="1" customWidth="1"/>
    <col min="45" max="45" width="8.53125" style="1" customWidth="1"/>
    <col min="46" max="46" width="8.73046875" style="1" customWidth="1"/>
    <col min="47" max="47" width="8.46484375" style="1" bestFit="1" customWidth="1"/>
    <col min="48" max="48" width="19.9296875" style="1" bestFit="1" customWidth="1"/>
    <col min="49" max="49" width="9.3984375" style="1" bestFit="1" customWidth="1"/>
    <col min="50" max="50" width="12.9296875" style="1" bestFit="1" customWidth="1"/>
    <col min="51" max="51" width="13.3984375" style="1" bestFit="1" customWidth="1"/>
    <col min="52" max="52" width="8.46484375" style="1" bestFit="1" customWidth="1"/>
    <col min="53" max="53" width="19.9296875" style="1" bestFit="1" customWidth="1"/>
    <col min="54" max="54" width="9.3984375" style="1" bestFit="1" customWidth="1"/>
    <col min="55" max="55" width="12.9296875" style="1" bestFit="1" customWidth="1"/>
    <col min="56" max="56" width="13.3984375" style="1" bestFit="1" customWidth="1"/>
    <col min="57" max="57" width="8.46484375" style="1" bestFit="1" customWidth="1"/>
    <col min="58" max="58" width="19.9296875" style="1" bestFit="1" customWidth="1"/>
    <col min="59" max="59" width="9.3984375" style="1" bestFit="1" customWidth="1"/>
    <col min="60" max="60" width="12.9296875" style="1" bestFit="1" customWidth="1"/>
    <col min="61" max="61" width="13.3984375" style="1" bestFit="1" customWidth="1"/>
    <col min="62" max="62" width="8.46484375" style="1" bestFit="1" customWidth="1"/>
    <col min="63" max="63" width="19.9296875" style="1" bestFit="1" customWidth="1"/>
    <col min="64" max="64" width="9.3984375" style="1" bestFit="1" customWidth="1"/>
    <col min="65" max="65" width="12.9296875" style="1" bestFit="1" customWidth="1"/>
    <col min="66" max="66" width="13.3984375" style="1" bestFit="1" customWidth="1"/>
    <col min="67" max="67" width="8.46484375" style="1" bestFit="1" customWidth="1"/>
    <col min="68" max="68" width="19.9296875" style="1" bestFit="1" customWidth="1"/>
    <col min="69" max="69" width="9.3984375" style="1" bestFit="1" customWidth="1"/>
    <col min="70" max="70" width="12.9296875" style="1" bestFit="1" customWidth="1"/>
    <col min="71" max="71" width="13.3984375" style="1" bestFit="1" customWidth="1"/>
    <col min="72" max="72" width="8.46484375" style="1" bestFit="1" customWidth="1"/>
    <col min="73" max="73" width="19.9296875" style="1" bestFit="1" customWidth="1"/>
    <col min="74" max="74" width="9.3984375" style="1" bestFit="1" customWidth="1"/>
    <col min="75" max="16384" width="9.06640625" style="1"/>
  </cols>
  <sheetData>
    <row r="1" spans="1:18" s="6" customFormat="1">
      <c r="A1" s="66" t="s">
        <v>88</v>
      </c>
      <c r="B1" s="66" t="s">
        <v>22</v>
      </c>
      <c r="C1" s="66" t="s">
        <v>23</v>
      </c>
      <c r="D1" s="67" t="s">
        <v>24</v>
      </c>
      <c r="E1" s="67" t="s">
        <v>25</v>
      </c>
      <c r="F1" s="66" t="s">
        <v>26</v>
      </c>
      <c r="G1" s="66" t="s">
        <v>27</v>
      </c>
      <c r="H1" s="68" t="s">
        <v>28</v>
      </c>
      <c r="I1" s="66" t="s">
        <v>29</v>
      </c>
      <c r="J1" s="68" t="s">
        <v>30</v>
      </c>
      <c r="K1" s="68" t="s">
        <v>31</v>
      </c>
      <c r="L1" s="69" t="s">
        <v>32</v>
      </c>
      <c r="M1" s="66" t="s">
        <v>33</v>
      </c>
      <c r="N1" s="66" t="s">
        <v>34</v>
      </c>
      <c r="O1" s="69" t="s">
        <v>35</v>
      </c>
      <c r="P1" s="70" t="s">
        <v>36</v>
      </c>
      <c r="Q1" s="69" t="s">
        <v>37</v>
      </c>
      <c r="R1" s="71" t="s">
        <v>89</v>
      </c>
    </row>
    <row r="2" spans="1:18">
      <c r="A2" s="19" t="s">
        <v>114</v>
      </c>
      <c r="B2" s="42">
        <v>1</v>
      </c>
      <c r="C2" s="2">
        <v>45658</v>
      </c>
      <c r="D2" s="1">
        <v>0</v>
      </c>
      <c r="E2" s="1">
        <v>0</v>
      </c>
      <c r="F2" s="18">
        <v>50</v>
      </c>
      <c r="G2" s="18">
        <v>0</v>
      </c>
      <c r="H2" s="18">
        <v>12</v>
      </c>
      <c r="I2" s="18">
        <v>10000</v>
      </c>
      <c r="J2" s="18">
        <v>0</v>
      </c>
      <c r="K2" s="18">
        <v>0</v>
      </c>
      <c r="L2" s="18">
        <v>-10000</v>
      </c>
      <c r="M2" s="18">
        <v>-3333.3333333333335</v>
      </c>
      <c r="N2" s="18">
        <v>-2048.6111111111113</v>
      </c>
      <c r="O2" s="18">
        <v>-15381.944444444445</v>
      </c>
      <c r="P2" s="18">
        <v>-26041.666666666668</v>
      </c>
      <c r="Q2" s="18">
        <v>-41423.611111111109</v>
      </c>
      <c r="R2" s="18" t="s">
        <v>91</v>
      </c>
    </row>
    <row r="3" spans="1:18">
      <c r="A3" s="19" t="s">
        <v>114</v>
      </c>
      <c r="B3" s="42">
        <v>2</v>
      </c>
      <c r="C3" s="2">
        <v>45689</v>
      </c>
      <c r="D3" s="1">
        <v>1</v>
      </c>
      <c r="E3" s="1">
        <v>1</v>
      </c>
      <c r="F3" s="18">
        <v>50.123313488615182</v>
      </c>
      <c r="G3" s="18">
        <v>0</v>
      </c>
      <c r="H3" s="18">
        <v>12.024718035238113</v>
      </c>
      <c r="I3" s="18">
        <v>10020.598362698427</v>
      </c>
      <c r="J3" s="18">
        <v>8016.4786901587422</v>
      </c>
      <c r="K3" s="18">
        <v>-80.164786901587419</v>
      </c>
      <c r="L3" s="18">
        <v>-2084.2844594412727</v>
      </c>
      <c r="M3" s="18">
        <v>-3333.3333333333335</v>
      </c>
      <c r="N3" s="18">
        <v>-2048.6111111111113</v>
      </c>
      <c r="O3" s="18">
        <v>-7466.228903885718</v>
      </c>
      <c r="P3" s="18">
        <v>-26041.666666666668</v>
      </c>
      <c r="Q3" s="18">
        <v>-33507.895570552384</v>
      </c>
      <c r="R3" s="18" t="s">
        <v>91</v>
      </c>
    </row>
    <row r="4" spans="1:18">
      <c r="A4" s="19" t="s">
        <v>114</v>
      </c>
      <c r="B4" s="42">
        <v>3</v>
      </c>
      <c r="C4" s="2">
        <v>45717</v>
      </c>
      <c r="D4" s="1">
        <v>1</v>
      </c>
      <c r="E4" s="1">
        <v>0</v>
      </c>
      <c r="F4" s="18">
        <v>50.246931101559845</v>
      </c>
      <c r="G4" s="18">
        <v>41872.442584633209</v>
      </c>
      <c r="H4" s="18">
        <v>12.04948698558173</v>
      </c>
      <c r="I4" s="18">
        <v>10041.239154651443</v>
      </c>
      <c r="J4" s="18">
        <v>8032.9913237211549</v>
      </c>
      <c r="K4" s="18">
        <v>-499.0543390835436</v>
      </c>
      <c r="L4" s="18">
        <v>39365.140414619374</v>
      </c>
      <c r="M4" s="18">
        <v>-3333.3333333333335</v>
      </c>
      <c r="N4" s="18">
        <v>-2048.6111111111113</v>
      </c>
      <c r="O4" s="18">
        <v>33983.195970174929</v>
      </c>
      <c r="P4" s="18">
        <v>-26041.666666666668</v>
      </c>
      <c r="Q4" s="18">
        <v>7941.5293035082614</v>
      </c>
      <c r="R4" s="18" t="s">
        <v>91</v>
      </c>
    </row>
    <row r="5" spans="1:18">
      <c r="A5" s="19" t="s">
        <v>114</v>
      </c>
      <c r="B5" s="42">
        <v>4</v>
      </c>
      <c r="C5" s="2">
        <v>45748</v>
      </c>
      <c r="D5" s="1">
        <v>1</v>
      </c>
      <c r="E5" s="1">
        <v>0</v>
      </c>
      <c r="F5" s="18">
        <v>50.370853588886646</v>
      </c>
      <c r="G5" s="18">
        <v>41975.711324072203</v>
      </c>
      <c r="H5" s="18">
        <v>12.074306955907634</v>
      </c>
      <c r="I5" s="18">
        <v>10061.92246325636</v>
      </c>
      <c r="J5" s="18">
        <v>8049.537970605088</v>
      </c>
      <c r="K5" s="18">
        <v>-500.25249294677292</v>
      </c>
      <c r="L5" s="18">
        <v>39463.074338474151</v>
      </c>
      <c r="M5" s="18">
        <v>-3333.3333333333335</v>
      </c>
      <c r="N5" s="18">
        <v>-2048.6111111111113</v>
      </c>
      <c r="O5" s="18">
        <v>34081.129894029706</v>
      </c>
      <c r="P5" s="18">
        <v>-26041.666666666668</v>
      </c>
      <c r="Q5" s="18">
        <v>8039.4632273630377</v>
      </c>
      <c r="R5" s="18" t="s">
        <v>95</v>
      </c>
    </row>
    <row r="6" spans="1:18">
      <c r="A6" s="19" t="s">
        <v>114</v>
      </c>
      <c r="B6" s="42">
        <v>5</v>
      </c>
      <c r="C6" s="2">
        <v>45778</v>
      </c>
      <c r="D6" s="1">
        <v>1</v>
      </c>
      <c r="E6" s="1">
        <v>0</v>
      </c>
      <c r="F6" s="18">
        <v>50.495081702498048</v>
      </c>
      <c r="G6" s="18">
        <v>42079.234752081706</v>
      </c>
      <c r="H6" s="18">
        <v>12.099178051308627</v>
      </c>
      <c r="I6" s="18">
        <v>10082.648376090521</v>
      </c>
      <c r="J6" s="18">
        <v>8066.1187008724173</v>
      </c>
      <c r="K6" s="18">
        <v>-501.45353452954123</v>
      </c>
      <c r="L6" s="18">
        <v>39561.251542334052</v>
      </c>
      <c r="M6" s="18">
        <v>-3333.3333333333335</v>
      </c>
      <c r="N6" s="18">
        <v>-2048.6111111111113</v>
      </c>
      <c r="O6" s="18">
        <v>34179.307097889607</v>
      </c>
      <c r="P6" s="18">
        <v>-26041.666666666668</v>
      </c>
      <c r="Q6" s="18">
        <v>8137.6404312229388</v>
      </c>
      <c r="R6" s="18" t="s">
        <v>95</v>
      </c>
    </row>
    <row r="7" spans="1:18">
      <c r="A7" s="19" t="s">
        <v>114</v>
      </c>
      <c r="B7" s="42">
        <v>6</v>
      </c>
      <c r="C7" s="2">
        <v>45809</v>
      </c>
      <c r="D7" s="1">
        <v>1</v>
      </c>
      <c r="E7" s="1">
        <v>0</v>
      </c>
      <c r="F7" s="18">
        <v>50.619616196150915</v>
      </c>
      <c r="G7" s="18">
        <v>42183.013496792431</v>
      </c>
      <c r="H7" s="18">
        <v>12.124100377093999</v>
      </c>
      <c r="I7" s="18">
        <v>10103.416980911667</v>
      </c>
      <c r="J7" s="18">
        <v>8082.7335847293334</v>
      </c>
      <c r="K7" s="18">
        <v>-502.65747081521766</v>
      </c>
      <c r="L7" s="18">
        <v>39659.672629794884</v>
      </c>
      <c r="M7" s="18">
        <v>-3333.3333333333335</v>
      </c>
      <c r="N7" s="18">
        <v>-2048.6111111111113</v>
      </c>
      <c r="O7" s="18">
        <v>34277.728185350439</v>
      </c>
      <c r="P7" s="18">
        <v>-26041.666666666668</v>
      </c>
      <c r="Q7" s="18">
        <v>8236.0615186837713</v>
      </c>
      <c r="R7" s="18" t="s">
        <v>95</v>
      </c>
    </row>
    <row r="8" spans="1:18">
      <c r="A8" s="19" t="s">
        <v>114</v>
      </c>
      <c r="B8" s="42">
        <v>7</v>
      </c>
      <c r="C8" s="2">
        <v>45839</v>
      </c>
      <c r="D8" s="1">
        <v>1</v>
      </c>
      <c r="E8" s="1">
        <v>0</v>
      </c>
      <c r="F8" s="18">
        <v>50.744457825461097</v>
      </c>
      <c r="G8" s="18">
        <v>42287.048187884247</v>
      </c>
      <c r="H8" s="18">
        <v>12.149074038789951</v>
      </c>
      <c r="I8" s="18">
        <v>10124.228365658291</v>
      </c>
      <c r="J8" s="18">
        <v>8099.382692526633</v>
      </c>
      <c r="K8" s="18">
        <v>-503.86430880410882</v>
      </c>
      <c r="L8" s="18">
        <v>39758.338205948487</v>
      </c>
      <c r="M8" s="18">
        <v>-3333.3333333333335</v>
      </c>
      <c r="N8" s="18">
        <v>-2048.6111111111113</v>
      </c>
      <c r="O8" s="18">
        <v>34376.393761504041</v>
      </c>
      <c r="P8" s="18">
        <v>-26041.666666666668</v>
      </c>
      <c r="Q8" s="18">
        <v>8334.7270948373734</v>
      </c>
      <c r="R8" s="18" t="s">
        <v>96</v>
      </c>
    </row>
    <row r="9" spans="1:18">
      <c r="A9" s="19" t="s">
        <v>114</v>
      </c>
      <c r="B9" s="42">
        <v>8</v>
      </c>
      <c r="C9" s="2">
        <v>45870</v>
      </c>
      <c r="D9" s="1">
        <v>1</v>
      </c>
      <c r="E9" s="1">
        <v>0</v>
      </c>
      <c r="F9" s="18">
        <v>50.869607347907966</v>
      </c>
      <c r="G9" s="18">
        <v>42391.339456589973</v>
      </c>
      <c r="H9" s="18">
        <v>12.174099142140058</v>
      </c>
      <c r="I9" s="18">
        <v>10145.082618450047</v>
      </c>
      <c r="J9" s="18">
        <v>8116.0660947600381</v>
      </c>
      <c r="K9" s="18">
        <v>-505.07405551350013</v>
      </c>
      <c r="L9" s="18">
        <v>39857.248877386468</v>
      </c>
      <c r="M9" s="18">
        <v>-3333.3333333333335</v>
      </c>
      <c r="N9" s="18">
        <v>-2048.6111111111113</v>
      </c>
      <c r="O9" s="18">
        <v>34475.304432942023</v>
      </c>
      <c r="P9" s="18">
        <v>-26041.666666666668</v>
      </c>
      <c r="Q9" s="18">
        <v>8433.6377662753548</v>
      </c>
      <c r="R9" s="18" t="s">
        <v>96</v>
      </c>
    </row>
    <row r="10" spans="1:18">
      <c r="A10" s="19" t="s">
        <v>114</v>
      </c>
      <c r="B10" s="42">
        <v>9</v>
      </c>
      <c r="C10" s="2">
        <v>45901</v>
      </c>
      <c r="D10" s="1">
        <v>1</v>
      </c>
      <c r="E10" s="1">
        <v>0</v>
      </c>
      <c r="F10" s="18">
        <v>50.99506552283907</v>
      </c>
      <c r="G10" s="18">
        <v>42495.887935699226</v>
      </c>
      <c r="H10" s="18">
        <v>12.199175793105699</v>
      </c>
      <c r="I10" s="18">
        <v>10165.979827588084</v>
      </c>
      <c r="J10" s="18">
        <v>8132.7838620704679</v>
      </c>
      <c r="K10" s="18">
        <v>-506.28671797769698</v>
      </c>
      <c r="L10" s="18">
        <v>39956.40525220392</v>
      </c>
      <c r="M10" s="18">
        <v>-3333.3333333333335</v>
      </c>
      <c r="N10" s="18">
        <v>-2048.6111111111113</v>
      </c>
      <c r="O10" s="18">
        <v>34574.460807759475</v>
      </c>
      <c r="P10" s="18">
        <v>-26041.666666666668</v>
      </c>
      <c r="Q10" s="18">
        <v>8532.794141092807</v>
      </c>
      <c r="R10" s="18" t="s">
        <v>96</v>
      </c>
    </row>
    <row r="11" spans="1:18">
      <c r="A11" s="19" t="s">
        <v>114</v>
      </c>
      <c r="B11" s="42">
        <v>10</v>
      </c>
      <c r="C11" s="2">
        <v>45931</v>
      </c>
      <c r="D11" s="1">
        <v>1</v>
      </c>
      <c r="E11" s="1">
        <v>0</v>
      </c>
      <c r="F11" s="18">
        <v>51.120833111474681</v>
      </c>
      <c r="G11" s="18">
        <v>42600.694259562239</v>
      </c>
      <c r="H11" s="18">
        <v>12.224304097866527</v>
      </c>
      <c r="I11" s="18">
        <v>10186.92008155544</v>
      </c>
      <c r="J11" s="18">
        <v>8149.5360652443524</v>
      </c>
      <c r="K11" s="18">
        <v>-507.50230324806586</v>
      </c>
      <c r="L11" s="18">
        <v>40055.807940003084</v>
      </c>
      <c r="M11" s="18">
        <v>-3333.3333333333335</v>
      </c>
      <c r="N11" s="18">
        <v>-2048.6111111111113</v>
      </c>
      <c r="O11" s="18">
        <v>34673.863495558639</v>
      </c>
      <c r="P11" s="18">
        <v>-26041.666666666668</v>
      </c>
      <c r="Q11" s="18">
        <v>8632.1968288919707</v>
      </c>
      <c r="R11" s="18" t="s">
        <v>97</v>
      </c>
    </row>
    <row r="12" spans="1:18">
      <c r="A12" s="19" t="s">
        <v>114</v>
      </c>
      <c r="B12" s="42">
        <v>11</v>
      </c>
      <c r="C12" s="2">
        <v>45962</v>
      </c>
      <c r="D12" s="1">
        <v>1</v>
      </c>
      <c r="E12" s="1">
        <v>0</v>
      </c>
      <c r="F12" s="18">
        <v>51.246910876912487</v>
      </c>
      <c r="G12" s="18">
        <v>42705.759064093741</v>
      </c>
      <c r="H12" s="18">
        <v>12.249484162820902</v>
      </c>
      <c r="I12" s="18">
        <v>10207.903469017419</v>
      </c>
      <c r="J12" s="18">
        <v>8166.3227752139355</v>
      </c>
      <c r="K12" s="18">
        <v>-508.7208183930768</v>
      </c>
      <c r="L12" s="18">
        <v>40155.457551897183</v>
      </c>
      <c r="M12" s="18">
        <v>-3333.3333333333335</v>
      </c>
      <c r="N12" s="18">
        <v>-2048.6111111111113</v>
      </c>
      <c r="O12" s="18">
        <v>34773.513107452738</v>
      </c>
      <c r="P12" s="18">
        <v>-26041.666666666668</v>
      </c>
      <c r="Q12" s="18">
        <v>8731.8464407860702</v>
      </c>
      <c r="R12" s="18" t="s">
        <v>97</v>
      </c>
    </row>
    <row r="13" spans="1:18">
      <c r="A13" s="19" t="s">
        <v>114</v>
      </c>
      <c r="B13" s="42">
        <v>12</v>
      </c>
      <c r="C13" s="2">
        <v>45992</v>
      </c>
      <c r="D13" s="1">
        <v>1</v>
      </c>
      <c r="E13" s="1">
        <v>0</v>
      </c>
      <c r="F13" s="18">
        <v>51.373299584132162</v>
      </c>
      <c r="G13" s="18">
        <v>42811.082986776804</v>
      </c>
      <c r="H13" s="18">
        <v>12.274716094586347</v>
      </c>
      <c r="I13" s="18">
        <v>10228.930078821955</v>
      </c>
      <c r="J13" s="18">
        <v>8183.1440630575644</v>
      </c>
      <c r="K13" s="18">
        <v>-509.9422704983437</v>
      </c>
      <c r="L13" s="18">
        <v>40255.354700514072</v>
      </c>
      <c r="M13" s="18">
        <v>-3333.3333333333335</v>
      </c>
      <c r="N13" s="18">
        <v>-2048.6111111111113</v>
      </c>
      <c r="O13" s="18">
        <v>34873.410256069626</v>
      </c>
      <c r="P13" s="18">
        <v>-26041.666666666668</v>
      </c>
      <c r="Q13" s="18">
        <v>8831.7435894029586</v>
      </c>
      <c r="R13" s="18" t="s">
        <v>97</v>
      </c>
    </row>
    <row r="14" spans="1:18" s="13" customFormat="1">
      <c r="B14" s="15" t="s">
        <v>38</v>
      </c>
      <c r="C14" s="15"/>
      <c r="D14" s="15"/>
      <c r="E14" s="15"/>
      <c r="F14" s="17">
        <f>SUM(F2:F13)</f>
        <v>608.20597034643811</v>
      </c>
      <c r="G14" s="16">
        <f>SUM(G2:G13)</f>
        <v>423402.21404818585</v>
      </c>
      <c r="H14" s="15"/>
      <c r="I14" s="16">
        <f t="shared" ref="I14:Q14" si="0">SUM(I2:I13)</f>
        <v>121368.86977869966</v>
      </c>
      <c r="J14" s="16">
        <f t="shared" si="0"/>
        <v>89095.095822959731</v>
      </c>
      <c r="K14" s="17">
        <f t="shared" si="0"/>
        <v>-5124.9730987114553</v>
      </c>
      <c r="L14" s="16">
        <f t="shared" si="0"/>
        <v>386003.4669937343</v>
      </c>
      <c r="M14" s="16">
        <f t="shared" si="0"/>
        <v>-40000</v>
      </c>
      <c r="N14" s="16">
        <f t="shared" si="0"/>
        <v>-24583.333333333328</v>
      </c>
      <c r="O14" s="16">
        <f t="shared" si="0"/>
        <v>321420.1336604011</v>
      </c>
      <c r="P14" s="16">
        <f t="shared" si="0"/>
        <v>-312500</v>
      </c>
      <c r="Q14" s="16">
        <f t="shared" si="0"/>
        <v>8920.1336604010539</v>
      </c>
    </row>
    <row r="16" spans="1:18">
      <c r="A16" s="43" t="s">
        <v>88</v>
      </c>
      <c r="B16" s="43" t="s">
        <v>22</v>
      </c>
      <c r="C16" s="43" t="s">
        <v>23</v>
      </c>
      <c r="D16" s="8" t="s">
        <v>24</v>
      </c>
      <c r="E16" s="8" t="s">
        <v>25</v>
      </c>
      <c r="F16" s="43" t="s">
        <v>26</v>
      </c>
      <c r="G16" s="43" t="s">
        <v>27</v>
      </c>
      <c r="H16" s="9" t="s">
        <v>28</v>
      </c>
      <c r="I16" s="43" t="s">
        <v>29</v>
      </c>
      <c r="J16" s="9" t="s">
        <v>30</v>
      </c>
      <c r="K16" s="9" t="s">
        <v>31</v>
      </c>
      <c r="L16" s="14" t="s">
        <v>32</v>
      </c>
      <c r="M16" s="43" t="s">
        <v>33</v>
      </c>
      <c r="N16" s="43" t="s">
        <v>34</v>
      </c>
      <c r="O16" s="14" t="s">
        <v>35</v>
      </c>
      <c r="P16" s="7" t="s">
        <v>36</v>
      </c>
      <c r="Q16" s="14" t="s">
        <v>37</v>
      </c>
      <c r="R16" s="1" t="s">
        <v>89</v>
      </c>
    </row>
    <row r="17" spans="1:18">
      <c r="A17" s="19" t="s">
        <v>199</v>
      </c>
      <c r="B17" s="42">
        <v>1</v>
      </c>
      <c r="C17" s="2">
        <v>45658</v>
      </c>
      <c r="D17" s="1">
        <v>0</v>
      </c>
      <c r="E17" s="1">
        <v>0</v>
      </c>
      <c r="F17" s="18">
        <v>50</v>
      </c>
      <c r="G17" s="18">
        <v>0</v>
      </c>
      <c r="H17" s="18">
        <v>12</v>
      </c>
      <c r="I17" s="18">
        <v>10000</v>
      </c>
      <c r="J17" s="18">
        <v>0</v>
      </c>
      <c r="K17" s="18">
        <v>0</v>
      </c>
      <c r="L17" s="18">
        <v>-10000</v>
      </c>
      <c r="M17" s="18">
        <v>-3333.3333333333335</v>
      </c>
      <c r="N17" s="18">
        <v>-2048.6111111111113</v>
      </c>
      <c r="O17" s="18">
        <v>-15381.944444444445</v>
      </c>
      <c r="P17" s="18">
        <v>-26041.666666666668</v>
      </c>
      <c r="Q17" s="18">
        <v>-41423.611111111109</v>
      </c>
      <c r="R17" s="1" t="s">
        <v>91</v>
      </c>
    </row>
    <row r="18" spans="1:18">
      <c r="A18" s="19" t="s">
        <v>199</v>
      </c>
      <c r="B18" s="42">
        <v>2</v>
      </c>
      <c r="C18" s="2">
        <v>45689</v>
      </c>
      <c r="D18" s="1">
        <v>1</v>
      </c>
      <c r="E18" s="1">
        <v>1</v>
      </c>
      <c r="F18" s="18">
        <v>50.203706189182419</v>
      </c>
      <c r="G18" s="18">
        <v>0</v>
      </c>
      <c r="H18" s="18">
        <v>12.014897852597391</v>
      </c>
      <c r="I18" s="18">
        <v>10012.414877164492</v>
      </c>
      <c r="J18" s="18">
        <v>9011.173389448044</v>
      </c>
      <c r="K18" s="18">
        <v>-45.055866947240219</v>
      </c>
      <c r="L18" s="18">
        <v>-1046.2973546636877</v>
      </c>
      <c r="M18" s="18">
        <v>-3333.3333333333335</v>
      </c>
      <c r="N18" s="18">
        <v>-2048.6111111111113</v>
      </c>
      <c r="O18" s="18">
        <v>-6428.2417991081329</v>
      </c>
      <c r="P18" s="18">
        <v>-26041.666666666668</v>
      </c>
      <c r="Q18" s="18">
        <v>-32469.908465774803</v>
      </c>
      <c r="R18" s="1" t="s">
        <v>91</v>
      </c>
    </row>
    <row r="19" spans="1:18">
      <c r="A19" s="19" t="s">
        <v>199</v>
      </c>
      <c r="B19" s="42">
        <v>3</v>
      </c>
      <c r="C19" s="2">
        <v>45717</v>
      </c>
      <c r="D19" s="1">
        <v>1</v>
      </c>
      <c r="E19" s="1">
        <v>0</v>
      </c>
      <c r="F19" s="18">
        <v>50.408242302595049</v>
      </c>
      <c r="G19" s="18">
        <v>42006.868585495868</v>
      </c>
      <c r="H19" s="18">
        <v>12.029814200695785</v>
      </c>
      <c r="I19" s="18">
        <v>10024.845167246487</v>
      </c>
      <c r="J19" s="18">
        <v>9022.3606505218395</v>
      </c>
      <c r="K19" s="18">
        <v>-255.14614618008855</v>
      </c>
      <c r="L19" s="18">
        <v>40749.237922591135</v>
      </c>
      <c r="M19" s="18">
        <v>-3333.3333333333335</v>
      </c>
      <c r="N19" s="18">
        <v>-2048.6111111111113</v>
      </c>
      <c r="O19" s="18">
        <v>35367.29347814669</v>
      </c>
      <c r="P19" s="18">
        <v>-26041.666666666668</v>
      </c>
      <c r="Q19" s="18">
        <v>9325.6268114800223</v>
      </c>
      <c r="R19" s="1" t="s">
        <v>91</v>
      </c>
    </row>
    <row r="20" spans="1:18">
      <c r="A20" s="19" t="s">
        <v>199</v>
      </c>
      <c r="B20" s="42">
        <v>4</v>
      </c>
      <c r="C20" s="2">
        <v>45748</v>
      </c>
      <c r="D20" s="1">
        <v>1</v>
      </c>
      <c r="E20" s="1">
        <v>0</v>
      </c>
      <c r="F20" s="18">
        <v>50.613611721451967</v>
      </c>
      <c r="G20" s="18">
        <v>42178.00976787664</v>
      </c>
      <c r="H20" s="18">
        <v>12.044749067257115</v>
      </c>
      <c r="I20" s="18">
        <v>10037.290889380929</v>
      </c>
      <c r="J20" s="18">
        <v>9033.5618004428361</v>
      </c>
      <c r="K20" s="18">
        <v>-256.05785784159735</v>
      </c>
      <c r="L20" s="18">
        <v>40918.222821096948</v>
      </c>
      <c r="M20" s="18">
        <v>-3333.3333333333335</v>
      </c>
      <c r="N20" s="18">
        <v>-2048.6111111111113</v>
      </c>
      <c r="O20" s="18">
        <v>35536.278376652503</v>
      </c>
      <c r="P20" s="18">
        <v>-26041.666666666668</v>
      </c>
      <c r="Q20" s="18">
        <v>9494.6117099858348</v>
      </c>
      <c r="R20" s="1" t="s">
        <v>95</v>
      </c>
    </row>
    <row r="21" spans="1:18">
      <c r="A21" s="19" t="s">
        <v>199</v>
      </c>
      <c r="B21" s="42">
        <v>5</v>
      </c>
      <c r="C21" s="2">
        <v>45778</v>
      </c>
      <c r="D21" s="1">
        <v>1</v>
      </c>
      <c r="E21" s="1">
        <v>0</v>
      </c>
      <c r="F21" s="18">
        <v>50.819817840742672</v>
      </c>
      <c r="G21" s="18">
        <v>42349.848200618893</v>
      </c>
      <c r="H21" s="18">
        <v>12.05970247527183</v>
      </c>
      <c r="I21" s="18">
        <v>10049.752062726524</v>
      </c>
      <c r="J21" s="18">
        <v>9044.776856453871</v>
      </c>
      <c r="K21" s="18">
        <v>-256.97312528536384</v>
      </c>
      <c r="L21" s="18">
        <v>41087.899869060871</v>
      </c>
      <c r="M21" s="18">
        <v>-3333.3333333333335</v>
      </c>
      <c r="N21" s="18">
        <v>-2048.6111111111113</v>
      </c>
      <c r="O21" s="18">
        <v>35705.955424616426</v>
      </c>
      <c r="P21" s="18">
        <v>-26041.666666666668</v>
      </c>
      <c r="Q21" s="18">
        <v>9664.2887579497583</v>
      </c>
      <c r="R21" s="1" t="s">
        <v>95</v>
      </c>
    </row>
    <row r="22" spans="1:18">
      <c r="A22" s="19" t="s">
        <v>199</v>
      </c>
      <c r="B22" s="42">
        <v>6</v>
      </c>
      <c r="C22" s="2">
        <v>45809</v>
      </c>
      <c r="D22" s="1">
        <v>1</v>
      </c>
      <c r="E22" s="1">
        <v>0</v>
      </c>
      <c r="F22" s="18">
        <v>51.026864069288315</v>
      </c>
      <c r="G22" s="18">
        <v>42522.386724406926</v>
      </c>
      <c r="H22" s="18">
        <v>12.074674447758913</v>
      </c>
      <c r="I22" s="18">
        <v>10062.228706465761</v>
      </c>
      <c r="J22" s="18">
        <v>9056.0058358191854</v>
      </c>
      <c r="K22" s="18">
        <v>-257.8919628011306</v>
      </c>
      <c r="L22" s="18">
        <v>41258.271890959222</v>
      </c>
      <c r="M22" s="18">
        <v>-3333.3333333333335</v>
      </c>
      <c r="N22" s="18">
        <v>-2048.6111111111113</v>
      </c>
      <c r="O22" s="18">
        <v>35876.327446514777</v>
      </c>
      <c r="P22" s="18">
        <v>-26041.666666666668</v>
      </c>
      <c r="Q22" s="18">
        <v>9834.6607798481091</v>
      </c>
      <c r="R22" s="1" t="s">
        <v>95</v>
      </c>
    </row>
    <row r="23" spans="1:18">
      <c r="A23" s="19" t="s">
        <v>199</v>
      </c>
      <c r="B23" s="42">
        <v>7</v>
      </c>
      <c r="C23" s="2">
        <v>45839</v>
      </c>
      <c r="D23" s="1">
        <v>1</v>
      </c>
      <c r="E23" s="1">
        <v>0</v>
      </c>
      <c r="F23" s="18">
        <v>51.234753829797995</v>
      </c>
      <c r="G23" s="18">
        <v>42695.628191498326</v>
      </c>
      <c r="H23" s="18">
        <v>12.08966500776593</v>
      </c>
      <c r="I23" s="18">
        <v>10074.720839804942</v>
      </c>
      <c r="J23" s="18">
        <v>9067.2487558244484</v>
      </c>
      <c r="K23" s="18">
        <v>-258.81438473661387</v>
      </c>
      <c r="L23" s="18">
        <v>41429.341722781217</v>
      </c>
      <c r="M23" s="18">
        <v>-3333.3333333333335</v>
      </c>
      <c r="N23" s="18">
        <v>-2048.6111111111113</v>
      </c>
      <c r="O23" s="18">
        <v>36047.397278336772</v>
      </c>
      <c r="P23" s="18">
        <v>-26041.666666666668</v>
      </c>
      <c r="Q23" s="18">
        <v>10005.730611670104</v>
      </c>
      <c r="R23" s="1" t="s">
        <v>96</v>
      </c>
    </row>
    <row r="24" spans="1:18">
      <c r="A24" s="19" t="s">
        <v>199</v>
      </c>
      <c r="B24" s="42">
        <v>8</v>
      </c>
      <c r="C24" s="2">
        <v>45870</v>
      </c>
      <c r="D24" s="1">
        <v>1</v>
      </c>
      <c r="E24" s="1">
        <v>0</v>
      </c>
      <c r="F24" s="18">
        <v>51.44349055892534</v>
      </c>
      <c r="G24" s="18">
        <v>42869.575465771115</v>
      </c>
      <c r="H24" s="18">
        <v>12.104674178369059</v>
      </c>
      <c r="I24" s="18">
        <v>10087.228481974214</v>
      </c>
      <c r="J24" s="18">
        <v>9078.5056337767928</v>
      </c>
      <c r="K24" s="18">
        <v>-259.74040549773957</v>
      </c>
      <c r="L24" s="18">
        <v>41601.112212075961</v>
      </c>
      <c r="M24" s="18">
        <v>-3333.3333333333335</v>
      </c>
      <c r="N24" s="18">
        <v>-2048.6111111111113</v>
      </c>
      <c r="O24" s="18">
        <v>36219.167767631516</v>
      </c>
      <c r="P24" s="18">
        <v>-26041.666666666668</v>
      </c>
      <c r="Q24" s="18">
        <v>10177.501100964848</v>
      </c>
      <c r="R24" s="1" t="s">
        <v>96</v>
      </c>
    </row>
    <row r="25" spans="1:18">
      <c r="A25" s="19" t="s">
        <v>199</v>
      </c>
      <c r="B25" s="42">
        <v>9</v>
      </c>
      <c r="C25" s="2">
        <v>45901</v>
      </c>
      <c r="D25" s="1">
        <v>1</v>
      </c>
      <c r="E25" s="1">
        <v>0</v>
      </c>
      <c r="F25" s="18">
        <v>51.653077707325345</v>
      </c>
      <c r="G25" s="18">
        <v>43044.231422771118</v>
      </c>
      <c r="H25" s="18">
        <v>12.119701982673124</v>
      </c>
      <c r="I25" s="18">
        <v>10099.751652227604</v>
      </c>
      <c r="J25" s="18">
        <v>9089.7764870048431</v>
      </c>
      <c r="K25" s="18">
        <v>-260.6700395488798</v>
      </c>
      <c r="L25" s="18">
        <v>41773.586217999473</v>
      </c>
      <c r="M25" s="18">
        <v>-3333.3333333333335</v>
      </c>
      <c r="N25" s="18">
        <v>-2048.6111111111113</v>
      </c>
      <c r="O25" s="18">
        <v>36391.641773555028</v>
      </c>
      <c r="P25" s="18">
        <v>-26041.666666666668</v>
      </c>
      <c r="Q25" s="18">
        <v>10349.97510688836</v>
      </c>
      <c r="R25" s="1" t="s">
        <v>96</v>
      </c>
    </row>
    <row r="26" spans="1:18">
      <c r="A26" s="19" t="s">
        <v>199</v>
      </c>
      <c r="B26" s="42">
        <v>10</v>
      </c>
      <c r="C26" s="2">
        <v>45931</v>
      </c>
      <c r="D26" s="1">
        <v>1</v>
      </c>
      <c r="E26" s="1">
        <v>0</v>
      </c>
      <c r="F26" s="18">
        <v>51.863518739711388</v>
      </c>
      <c r="G26" s="18">
        <v>43219.598949759493</v>
      </c>
      <c r="H26" s="18">
        <v>12.13474844381164</v>
      </c>
      <c r="I26" s="18">
        <v>10112.290369843033</v>
      </c>
      <c r="J26" s="18">
        <v>9101.0613328587297</v>
      </c>
      <c r="K26" s="18">
        <v>-261.60330141309112</v>
      </c>
      <c r="L26" s="18">
        <v>41946.766611362102</v>
      </c>
      <c r="M26" s="18">
        <v>-3333.3333333333335</v>
      </c>
      <c r="N26" s="18">
        <v>-2048.6111111111113</v>
      </c>
      <c r="O26" s="18">
        <v>36564.822166917656</v>
      </c>
      <c r="P26" s="18">
        <v>-26041.666666666668</v>
      </c>
      <c r="Q26" s="18">
        <v>10523.155500250989</v>
      </c>
      <c r="R26" s="1" t="s">
        <v>97</v>
      </c>
    </row>
    <row r="27" spans="1:18">
      <c r="A27" s="19" t="s">
        <v>199</v>
      </c>
      <c r="B27" s="42">
        <v>11</v>
      </c>
      <c r="C27" s="2">
        <v>45962</v>
      </c>
      <c r="D27" s="1">
        <v>1</v>
      </c>
      <c r="E27" s="1">
        <v>0</v>
      </c>
      <c r="F27" s="18">
        <v>52.074817134912543</v>
      </c>
      <c r="G27" s="18">
        <v>43395.680945760454</v>
      </c>
      <c r="H27" s="18">
        <v>12.149813584946834</v>
      </c>
      <c r="I27" s="18">
        <v>10124.844654122362</v>
      </c>
      <c r="J27" s="18">
        <v>9112.3601887101267</v>
      </c>
      <c r="K27" s="18">
        <v>-262.5402056723529</v>
      </c>
      <c r="L27" s="18">
        <v>42120.656274675865</v>
      </c>
      <c r="M27" s="18">
        <v>-3333.3333333333335</v>
      </c>
      <c r="N27" s="18">
        <v>-2048.6111111111113</v>
      </c>
      <c r="O27" s="18">
        <v>36738.711830231419</v>
      </c>
      <c r="P27" s="18">
        <v>-26041.666666666668</v>
      </c>
      <c r="Q27" s="18">
        <v>10697.045163564751</v>
      </c>
      <c r="R27" s="1" t="s">
        <v>97</v>
      </c>
    </row>
    <row r="28" spans="1:18">
      <c r="A28" s="19" t="s">
        <v>199</v>
      </c>
      <c r="B28" s="42">
        <v>12</v>
      </c>
      <c r="C28" s="2">
        <v>45992</v>
      </c>
      <c r="D28" s="1">
        <v>1</v>
      </c>
      <c r="E28" s="1">
        <v>0</v>
      </c>
      <c r="F28" s="18">
        <v>52.286976385931027</v>
      </c>
      <c r="G28" s="18">
        <v>43572.48032160919</v>
      </c>
      <c r="H28" s="18">
        <v>12.164897429269695</v>
      </c>
      <c r="I28" s="18">
        <v>10137.414524391412</v>
      </c>
      <c r="J28" s="18">
        <v>9123.6730719522711</v>
      </c>
      <c r="K28" s="18">
        <v>-263.48076696780731</v>
      </c>
      <c r="L28" s="18">
        <v>42295.258102202242</v>
      </c>
      <c r="M28" s="18">
        <v>-3333.3333333333335</v>
      </c>
      <c r="N28" s="18">
        <v>-2048.6111111111113</v>
      </c>
      <c r="O28" s="18">
        <v>36913.313657757797</v>
      </c>
      <c r="P28" s="18">
        <v>-26041.666666666668</v>
      </c>
      <c r="Q28" s="18">
        <v>10871.646991091129</v>
      </c>
      <c r="R28" s="1" t="s">
        <v>97</v>
      </c>
    </row>
    <row r="29" spans="1:18">
      <c r="A29" s="13"/>
      <c r="B29" s="15" t="s">
        <v>38</v>
      </c>
      <c r="C29" s="15"/>
      <c r="D29" s="15"/>
      <c r="E29" s="15"/>
      <c r="F29" s="17">
        <f>SUM(F17:F28)</f>
        <v>613.62887647986395</v>
      </c>
      <c r="G29" s="16">
        <f>SUM(G17:G28)</f>
        <v>427854.30857556802</v>
      </c>
      <c r="H29" s="15"/>
      <c r="I29" s="16">
        <f t="shared" ref="I29:Q29" si="1">SUM(I17:I28)</f>
        <v>120822.78222534776</v>
      </c>
      <c r="J29" s="16">
        <f t="shared" si="1"/>
        <v>99740.504002812988</v>
      </c>
      <c r="K29" s="17">
        <f t="shared" si="1"/>
        <v>-2637.9740628919053</v>
      </c>
      <c r="L29" s="16">
        <f t="shared" si="1"/>
        <v>404134.05629014137</v>
      </c>
      <c r="M29" s="16">
        <f t="shared" si="1"/>
        <v>-40000</v>
      </c>
      <c r="N29" s="16">
        <f t="shared" si="1"/>
        <v>-24583.333333333328</v>
      </c>
      <c r="O29" s="16">
        <f t="shared" si="1"/>
        <v>339550.72295680805</v>
      </c>
      <c r="P29" s="16">
        <f t="shared" si="1"/>
        <v>-312500</v>
      </c>
      <c r="Q29" s="16">
        <f t="shared" si="1"/>
        <v>27050.722956808</v>
      </c>
    </row>
    <row r="31" spans="1:18">
      <c r="A31" s="43" t="s">
        <v>88</v>
      </c>
      <c r="B31" s="43" t="s">
        <v>22</v>
      </c>
      <c r="C31" s="43" t="s">
        <v>23</v>
      </c>
      <c r="D31" s="8" t="s">
        <v>24</v>
      </c>
      <c r="E31" s="8" t="s">
        <v>25</v>
      </c>
      <c r="F31" s="43" t="s">
        <v>26</v>
      </c>
      <c r="G31" s="43" t="s">
        <v>27</v>
      </c>
      <c r="H31" s="9" t="s">
        <v>28</v>
      </c>
      <c r="I31" s="43" t="s">
        <v>29</v>
      </c>
      <c r="J31" s="9" t="s">
        <v>30</v>
      </c>
      <c r="K31" s="9" t="s">
        <v>31</v>
      </c>
      <c r="L31" s="14" t="s">
        <v>32</v>
      </c>
      <c r="M31" s="43" t="s">
        <v>33</v>
      </c>
      <c r="N31" s="43" t="s">
        <v>34</v>
      </c>
      <c r="O31" s="14" t="s">
        <v>35</v>
      </c>
      <c r="P31" s="7" t="s">
        <v>36</v>
      </c>
      <c r="Q31" s="14" t="s">
        <v>37</v>
      </c>
      <c r="R31" s="1" t="s">
        <v>89</v>
      </c>
    </row>
    <row r="32" spans="1:18">
      <c r="A32" s="19" t="s">
        <v>200</v>
      </c>
      <c r="B32" s="42">
        <v>1</v>
      </c>
      <c r="C32" s="2">
        <v>45658</v>
      </c>
      <c r="D32" s="1">
        <v>0</v>
      </c>
      <c r="E32" s="1">
        <v>0</v>
      </c>
      <c r="F32" s="18">
        <v>50</v>
      </c>
      <c r="G32" s="18">
        <v>0</v>
      </c>
      <c r="H32" s="18">
        <v>12</v>
      </c>
      <c r="I32" s="18">
        <v>10000</v>
      </c>
      <c r="J32" s="18">
        <v>0</v>
      </c>
      <c r="K32" s="18">
        <v>0</v>
      </c>
      <c r="L32" s="18">
        <v>-10000</v>
      </c>
      <c r="M32" s="18">
        <v>-3333.3333333333335</v>
      </c>
      <c r="N32" s="18">
        <v>-2048.6111111111113</v>
      </c>
      <c r="O32" s="18">
        <v>-15381.944444444445</v>
      </c>
      <c r="P32" s="18">
        <v>-28125</v>
      </c>
      <c r="Q32" s="18">
        <v>-43506.944444444445</v>
      </c>
      <c r="R32" s="1" t="s">
        <v>91</v>
      </c>
    </row>
    <row r="33" spans="1:18">
      <c r="A33" s="19" t="s">
        <v>200</v>
      </c>
      <c r="B33" s="42">
        <v>2</v>
      </c>
      <c r="C33" s="2">
        <v>45689</v>
      </c>
      <c r="D33" s="1">
        <v>0</v>
      </c>
      <c r="E33" s="1">
        <v>0</v>
      </c>
      <c r="F33" s="18">
        <v>50</v>
      </c>
      <c r="G33" s="18">
        <v>0</v>
      </c>
      <c r="H33" s="18">
        <v>12.03445078462892</v>
      </c>
      <c r="I33" s="18">
        <v>10028.708987190766</v>
      </c>
      <c r="J33" s="18">
        <v>0</v>
      </c>
      <c r="K33" s="18">
        <v>0</v>
      </c>
      <c r="L33" s="18">
        <v>-10028.708987190766</v>
      </c>
      <c r="M33" s="18">
        <v>-3333.3333333333335</v>
      </c>
      <c r="N33" s="18">
        <v>-2048.6111111111113</v>
      </c>
      <c r="O33" s="18">
        <v>-15410.653431635212</v>
      </c>
      <c r="P33" s="18">
        <v>-28125</v>
      </c>
      <c r="Q33" s="18">
        <v>-43535.653431635212</v>
      </c>
      <c r="R33" s="1" t="s">
        <v>91</v>
      </c>
    </row>
    <row r="34" spans="1:18">
      <c r="A34" s="19" t="s">
        <v>200</v>
      </c>
      <c r="B34" s="42">
        <v>3</v>
      </c>
      <c r="C34" s="2">
        <v>45717</v>
      </c>
      <c r="D34" s="1">
        <v>1</v>
      </c>
      <c r="E34" s="1">
        <v>1</v>
      </c>
      <c r="F34" s="18">
        <v>50</v>
      </c>
      <c r="G34" s="18">
        <v>0</v>
      </c>
      <c r="H34" s="18">
        <v>12.0690004739713</v>
      </c>
      <c r="I34" s="18">
        <v>10057.500394976085</v>
      </c>
      <c r="J34" s="18">
        <v>7040.2502764832589</v>
      </c>
      <c r="K34" s="18">
        <v>-140.80500552966518</v>
      </c>
      <c r="L34" s="18">
        <v>-3158.0551240224913</v>
      </c>
      <c r="M34" s="18">
        <v>-3333.3333333333335</v>
      </c>
      <c r="N34" s="18">
        <v>-2048.6111111111113</v>
      </c>
      <c r="O34" s="18">
        <v>-8539.9995684669357</v>
      </c>
      <c r="P34" s="18">
        <v>-28125</v>
      </c>
      <c r="Q34" s="18">
        <v>-36664.999568466934</v>
      </c>
      <c r="R34" s="1" t="s">
        <v>91</v>
      </c>
    </row>
    <row r="35" spans="1:18">
      <c r="A35" s="19" t="s">
        <v>200</v>
      </c>
      <c r="B35" s="42">
        <v>4</v>
      </c>
      <c r="C35" s="2">
        <v>45748</v>
      </c>
      <c r="D35" s="1">
        <v>1</v>
      </c>
      <c r="E35" s="1">
        <v>0</v>
      </c>
      <c r="F35" s="18">
        <v>50</v>
      </c>
      <c r="G35" s="18">
        <v>41666.666666666672</v>
      </c>
      <c r="H35" s="18">
        <v>12.10364935197256</v>
      </c>
      <c r="I35" s="18">
        <v>10086.374459977134</v>
      </c>
      <c r="J35" s="18">
        <v>7060.4621219839937</v>
      </c>
      <c r="K35" s="18">
        <v>-974.54257577301325</v>
      </c>
      <c r="L35" s="18">
        <v>37666.211752900519</v>
      </c>
      <c r="M35" s="18">
        <v>-3333.3333333333335</v>
      </c>
      <c r="N35" s="18">
        <v>-2048.6111111111113</v>
      </c>
      <c r="O35" s="18">
        <v>32284.267308456074</v>
      </c>
      <c r="P35" s="18">
        <v>-28125</v>
      </c>
      <c r="Q35" s="18">
        <v>4159.2673084560738</v>
      </c>
      <c r="R35" s="1" t="s">
        <v>95</v>
      </c>
    </row>
    <row r="36" spans="1:18">
      <c r="A36" s="19" t="s">
        <v>200</v>
      </c>
      <c r="B36" s="42">
        <v>5</v>
      </c>
      <c r="C36" s="2">
        <v>45778</v>
      </c>
      <c r="D36" s="1">
        <v>1</v>
      </c>
      <c r="E36" s="1">
        <v>0</v>
      </c>
      <c r="F36" s="18">
        <v>50</v>
      </c>
      <c r="G36" s="18">
        <v>41666.666666666672</v>
      </c>
      <c r="H36" s="18">
        <v>12.138397703393291</v>
      </c>
      <c r="I36" s="18">
        <v>10115.331419494409</v>
      </c>
      <c r="J36" s="18">
        <v>7080.7319936460854</v>
      </c>
      <c r="K36" s="18">
        <v>-974.94797320625514</v>
      </c>
      <c r="L36" s="18">
        <v>37657.119267612092</v>
      </c>
      <c r="M36" s="18">
        <v>-3333.3333333333335</v>
      </c>
      <c r="N36" s="18">
        <v>-2048.6111111111113</v>
      </c>
      <c r="O36" s="18">
        <v>32275.174823167647</v>
      </c>
      <c r="P36" s="18">
        <v>-28125</v>
      </c>
      <c r="Q36" s="18">
        <v>4150.1748231676465</v>
      </c>
      <c r="R36" s="1" t="s">
        <v>95</v>
      </c>
    </row>
    <row r="37" spans="1:18">
      <c r="A37" s="19" t="s">
        <v>200</v>
      </c>
      <c r="B37" s="42">
        <v>6</v>
      </c>
      <c r="C37" s="2">
        <v>45809</v>
      </c>
      <c r="D37" s="1">
        <v>1</v>
      </c>
      <c r="E37" s="1">
        <v>0</v>
      </c>
      <c r="F37" s="18">
        <v>50</v>
      </c>
      <c r="G37" s="18">
        <v>41666.666666666672</v>
      </c>
      <c r="H37" s="18">
        <v>12.173245813811604</v>
      </c>
      <c r="I37" s="18">
        <v>10144.371511509671</v>
      </c>
      <c r="J37" s="18">
        <v>7101.0600580567698</v>
      </c>
      <c r="K37" s="18">
        <v>-975.35453449446879</v>
      </c>
      <c r="L37" s="18">
        <v>37648.000678719298</v>
      </c>
      <c r="M37" s="18">
        <v>-3333.3333333333335</v>
      </c>
      <c r="N37" s="18">
        <v>-2048.6111111111113</v>
      </c>
      <c r="O37" s="18">
        <v>32266.056234274853</v>
      </c>
      <c r="P37" s="18">
        <v>-28125</v>
      </c>
      <c r="Q37" s="18">
        <v>4141.0562342748526</v>
      </c>
      <c r="R37" s="1" t="s">
        <v>95</v>
      </c>
    </row>
    <row r="38" spans="1:18">
      <c r="A38" s="19" t="s">
        <v>200</v>
      </c>
      <c r="B38" s="42">
        <v>7</v>
      </c>
      <c r="C38" s="2">
        <v>45839</v>
      </c>
      <c r="D38" s="1">
        <v>1</v>
      </c>
      <c r="E38" s="1">
        <v>0</v>
      </c>
      <c r="F38" s="18">
        <v>50</v>
      </c>
      <c r="G38" s="18">
        <v>41666.666666666672</v>
      </c>
      <c r="H38" s="18">
        <v>12.208193969625484</v>
      </c>
      <c r="I38" s="18">
        <v>10173.494974687903</v>
      </c>
      <c r="J38" s="18">
        <v>7121.4464822815316</v>
      </c>
      <c r="K38" s="18">
        <v>-975.76226297896415</v>
      </c>
      <c r="L38" s="18">
        <v>37638.855911281338</v>
      </c>
      <c r="M38" s="18">
        <v>-3333.3333333333335</v>
      </c>
      <c r="N38" s="18">
        <v>-2048.6111111111113</v>
      </c>
      <c r="O38" s="18">
        <v>32256.911466836893</v>
      </c>
      <c r="P38" s="18">
        <v>-28125</v>
      </c>
      <c r="Q38" s="18">
        <v>4131.9114668368929</v>
      </c>
      <c r="R38" s="1" t="s">
        <v>96</v>
      </c>
    </row>
    <row r="39" spans="1:18">
      <c r="A39" s="19" t="s">
        <v>200</v>
      </c>
      <c r="B39" s="42">
        <v>8</v>
      </c>
      <c r="C39" s="2">
        <v>45870</v>
      </c>
      <c r="D39" s="1">
        <v>1</v>
      </c>
      <c r="E39" s="1">
        <v>0</v>
      </c>
      <c r="F39" s="18">
        <v>50</v>
      </c>
      <c r="G39" s="18">
        <v>41666.666666666672</v>
      </c>
      <c r="H39" s="18">
        <v>12.24324245805512</v>
      </c>
      <c r="I39" s="18">
        <v>10202.702048379266</v>
      </c>
      <c r="J39" s="18">
        <v>7141.8914338654859</v>
      </c>
      <c r="K39" s="18">
        <v>-976.17116201064323</v>
      </c>
      <c r="L39" s="18">
        <v>37629.684890142249</v>
      </c>
      <c r="M39" s="18">
        <v>-3333.3333333333335</v>
      </c>
      <c r="N39" s="18">
        <v>-2048.6111111111113</v>
      </c>
      <c r="O39" s="18">
        <v>32247.740445697804</v>
      </c>
      <c r="P39" s="18">
        <v>-28125</v>
      </c>
      <c r="Q39" s="18">
        <v>4122.7404456978038</v>
      </c>
      <c r="R39" s="1" t="s">
        <v>96</v>
      </c>
    </row>
    <row r="40" spans="1:18">
      <c r="A40" s="19" t="s">
        <v>200</v>
      </c>
      <c r="B40" s="42">
        <v>9</v>
      </c>
      <c r="C40" s="2">
        <v>45901</v>
      </c>
      <c r="D40" s="1">
        <v>1</v>
      </c>
      <c r="E40" s="1">
        <v>0</v>
      </c>
      <c r="F40" s="18">
        <v>50</v>
      </c>
      <c r="G40" s="18">
        <v>41666.666666666672</v>
      </c>
      <c r="H40" s="18">
        <v>12.278391567145293</v>
      </c>
      <c r="I40" s="18">
        <v>10231.992972621078</v>
      </c>
      <c r="J40" s="18">
        <v>7162.3950808347536</v>
      </c>
      <c r="K40" s="18">
        <v>-976.58123495002849</v>
      </c>
      <c r="L40" s="18">
        <v>37620.48753993032</v>
      </c>
      <c r="M40" s="18">
        <v>-3333.3333333333335</v>
      </c>
      <c r="N40" s="18">
        <v>-2048.6111111111113</v>
      </c>
      <c r="O40" s="18">
        <v>32238.543095485875</v>
      </c>
      <c r="P40" s="18">
        <v>-28125</v>
      </c>
      <c r="Q40" s="18">
        <v>4113.5430954858748</v>
      </c>
      <c r="R40" s="1" t="s">
        <v>96</v>
      </c>
    </row>
    <row r="41" spans="1:18">
      <c r="A41" s="19" t="s">
        <v>200</v>
      </c>
      <c r="B41" s="42">
        <v>10</v>
      </c>
      <c r="C41" s="2">
        <v>45931</v>
      </c>
      <c r="D41" s="1">
        <v>1</v>
      </c>
      <c r="E41" s="1">
        <v>0</v>
      </c>
      <c r="F41" s="18">
        <v>50</v>
      </c>
      <c r="G41" s="18">
        <v>41666.666666666672</v>
      </c>
      <c r="H41" s="18">
        <v>12.313641585767733</v>
      </c>
      <c r="I41" s="18">
        <v>10261.367988139778</v>
      </c>
      <c r="J41" s="18">
        <v>7182.9575916978447</v>
      </c>
      <c r="K41" s="18">
        <v>-976.99248516729028</v>
      </c>
      <c r="L41" s="18">
        <v>37611.263785057447</v>
      </c>
      <c r="M41" s="18">
        <v>-3333.3333333333335</v>
      </c>
      <c r="N41" s="18">
        <v>-2048.6111111111113</v>
      </c>
      <c r="O41" s="18">
        <v>32229.319340613001</v>
      </c>
      <c r="P41" s="18">
        <v>-28125</v>
      </c>
      <c r="Q41" s="18">
        <v>4104.3193406130013</v>
      </c>
      <c r="R41" s="1" t="s">
        <v>97</v>
      </c>
    </row>
    <row r="42" spans="1:18">
      <c r="A42" s="19" t="s">
        <v>200</v>
      </c>
      <c r="B42" s="42">
        <v>11</v>
      </c>
      <c r="C42" s="2">
        <v>45962</v>
      </c>
      <c r="D42" s="1">
        <v>1</v>
      </c>
      <c r="E42" s="1">
        <v>0</v>
      </c>
      <c r="F42" s="18">
        <v>50</v>
      </c>
      <c r="G42" s="18">
        <v>41666.666666666672</v>
      </c>
      <c r="H42" s="18">
        <v>12.348992803623482</v>
      </c>
      <c r="I42" s="18">
        <v>10290.827336352901</v>
      </c>
      <c r="J42" s="18">
        <v>7203.5791354470302</v>
      </c>
      <c r="K42" s="18">
        <v>-977.40491604227395</v>
      </c>
      <c r="L42" s="18">
        <v>37602.013549718526</v>
      </c>
      <c r="M42" s="18">
        <v>-3333.3333333333335</v>
      </c>
      <c r="N42" s="18">
        <v>-2048.6111111111113</v>
      </c>
      <c r="O42" s="18">
        <v>32220.06910527408</v>
      </c>
      <c r="P42" s="18">
        <v>-28125</v>
      </c>
      <c r="Q42" s="18">
        <v>4095.0691052740804</v>
      </c>
      <c r="R42" s="1" t="s">
        <v>97</v>
      </c>
    </row>
    <row r="43" spans="1:18">
      <c r="A43" s="19" t="s">
        <v>200</v>
      </c>
      <c r="B43" s="42">
        <v>12</v>
      </c>
      <c r="C43" s="2">
        <v>45992</v>
      </c>
      <c r="D43" s="1">
        <v>1</v>
      </c>
      <c r="E43" s="1">
        <v>0</v>
      </c>
      <c r="F43" s="18">
        <v>50</v>
      </c>
      <c r="G43" s="18">
        <v>41666.666666666672</v>
      </c>
      <c r="H43" s="18">
        <v>12.384445511245289</v>
      </c>
      <c r="I43" s="18">
        <v>10320.371259371075</v>
      </c>
      <c r="J43" s="18">
        <v>7224.2598815597521</v>
      </c>
      <c r="K43" s="18">
        <v>-977.81853096452846</v>
      </c>
      <c r="L43" s="18">
        <v>37592.736757890823</v>
      </c>
      <c r="M43" s="18">
        <v>-3333.3333333333335</v>
      </c>
      <c r="N43" s="18">
        <v>-2048.6111111111113</v>
      </c>
      <c r="O43" s="18">
        <v>32210.792313446378</v>
      </c>
      <c r="P43" s="18">
        <v>-28125</v>
      </c>
      <c r="Q43" s="18">
        <v>4085.7923134463781</v>
      </c>
      <c r="R43" s="1" t="s">
        <v>97</v>
      </c>
    </row>
    <row r="44" spans="1:18">
      <c r="A44" s="13"/>
      <c r="B44" s="15" t="s">
        <v>38</v>
      </c>
      <c r="C44" s="15"/>
      <c r="D44" s="15"/>
      <c r="E44" s="15"/>
      <c r="F44" s="17">
        <f>SUM(F32:F43)</f>
        <v>600</v>
      </c>
      <c r="G44" s="16">
        <f>SUM(G32:G43)</f>
        <v>375000.00000000012</v>
      </c>
      <c r="H44" s="15"/>
      <c r="I44" s="16">
        <f t="shared" ref="I44:Q44" si="2">SUM(I32:I43)</f>
        <v>121913.04335270009</v>
      </c>
      <c r="J44" s="16">
        <f t="shared" si="2"/>
        <v>71319.034055856493</v>
      </c>
      <c r="K44" s="17">
        <f t="shared" si="2"/>
        <v>-8926.3806811171307</v>
      </c>
      <c r="L44" s="16">
        <f t="shared" si="2"/>
        <v>315479.61002203939</v>
      </c>
      <c r="M44" s="16">
        <f t="shared" si="2"/>
        <v>-40000</v>
      </c>
      <c r="N44" s="16">
        <f t="shared" si="2"/>
        <v>-24583.333333333328</v>
      </c>
      <c r="O44" s="16">
        <f t="shared" si="2"/>
        <v>250896.27668870598</v>
      </c>
      <c r="P44" s="16">
        <f t="shared" si="2"/>
        <v>-337500</v>
      </c>
      <c r="Q44" s="16">
        <f t="shared" si="2"/>
        <v>-86603.723311293987</v>
      </c>
    </row>
  </sheetData>
  <phoneticPr fontId="1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96"/>
  <sheetViews>
    <sheetView tabSelected="1" topLeftCell="A16" zoomScale="85" zoomScaleNormal="85" workbookViewId="0">
      <selection activeCell="V25" sqref="V25"/>
    </sheetView>
  </sheetViews>
  <sheetFormatPr defaultRowHeight="14.25" outlineLevelRow="1" outlineLevelCol="1"/>
  <cols>
    <col min="1" max="1" width="2.796875" style="1" customWidth="1"/>
    <col min="2" max="2" width="4.265625" style="1" customWidth="1"/>
    <col min="3" max="3" width="12.06640625" style="1" bestFit="1" customWidth="1"/>
    <col min="4" max="4" width="9.265625" style="1" customWidth="1"/>
    <col min="5" max="5" width="13.86328125" style="1" hidden="1" customWidth="1" outlineLevel="1"/>
    <col min="6" max="6" width="9.3984375" style="1" customWidth="1" collapsed="1"/>
    <col min="7" max="8" width="11.53125" style="1" hidden="1" customWidth="1" outlineLevel="1"/>
    <col min="9" max="9" width="10.73046875" style="1" customWidth="1" collapsed="1"/>
    <col min="10" max="10" width="9.9296875" style="1" customWidth="1"/>
    <col min="11" max="11" width="11.53125" style="1" hidden="1" customWidth="1" outlineLevel="1"/>
    <col min="12" max="12" width="9.1328125" style="1" customWidth="1" collapsed="1"/>
    <col min="13" max="13" width="8.19921875" style="1" customWidth="1"/>
    <col min="14" max="14" width="9.265625" style="1" customWidth="1"/>
    <col min="15" max="15" width="9.53125" style="1" customWidth="1"/>
    <col min="16" max="16" width="9.53125" style="1" hidden="1" customWidth="1" outlineLevel="1"/>
    <col min="17" max="17" width="9.9296875" style="1" customWidth="1" collapsed="1"/>
    <col min="18" max="18" width="11.53125" style="1" customWidth="1"/>
    <col min="19" max="19" width="9.6640625" style="1" customWidth="1"/>
    <col min="20" max="20" width="1.46484375" style="1" customWidth="1"/>
    <col min="21" max="21" width="9.265625" style="1" customWidth="1"/>
    <col min="22" max="24" width="10.19921875" style="1" customWidth="1"/>
    <col min="25" max="25" width="10.796875" style="1" customWidth="1"/>
    <col min="26" max="29" width="8.73046875" style="1" customWidth="1"/>
    <col min="30" max="30" width="12.33203125" style="1" customWidth="1"/>
    <col min="31" max="31" width="10.86328125" style="1" customWidth="1"/>
    <col min="32" max="32" width="11.73046875" style="1" customWidth="1"/>
    <col min="33" max="33" width="10.6640625" style="1" customWidth="1"/>
    <col min="34" max="34" width="11.6640625" style="1" customWidth="1"/>
    <col min="35" max="44" width="14.265625" style="1" customWidth="1"/>
    <col min="45" max="45" width="10.19921875" style="1" customWidth="1"/>
    <col min="46" max="46" width="9.3984375" style="1" bestFit="1" customWidth="1"/>
    <col min="47" max="47" width="8.53125" style="1" customWidth="1"/>
    <col min="48" max="48" width="8.73046875" style="1" customWidth="1"/>
    <col min="49" max="49" width="8.46484375" style="1" bestFit="1" customWidth="1"/>
    <col min="50" max="50" width="19.9296875" style="1" bestFit="1" customWidth="1"/>
    <col min="51" max="51" width="9.3984375" style="1" bestFit="1" customWidth="1"/>
    <col min="52" max="52" width="12.9296875" style="1" bestFit="1" customWidth="1"/>
    <col min="53" max="53" width="13.3984375" style="1" bestFit="1" customWidth="1"/>
    <col min="54" max="54" width="8.46484375" style="1" bestFit="1" customWidth="1"/>
    <col min="55" max="55" width="19.9296875" style="1" bestFit="1" customWidth="1"/>
    <col min="56" max="56" width="9.3984375" style="1" bestFit="1" customWidth="1"/>
    <col min="57" max="57" width="12.9296875" style="1" bestFit="1" customWidth="1"/>
    <col min="58" max="58" width="13.3984375" style="1" bestFit="1" customWidth="1"/>
    <col min="59" max="59" width="8.46484375" style="1" bestFit="1" customWidth="1"/>
    <col min="60" max="60" width="19.9296875" style="1" bestFit="1" customWidth="1"/>
    <col min="61" max="61" width="9.3984375" style="1" bestFit="1" customWidth="1"/>
    <col min="62" max="62" width="12.9296875" style="1" bestFit="1" customWidth="1"/>
    <col min="63" max="63" width="13.3984375" style="1" bestFit="1" customWidth="1"/>
    <col min="64" max="64" width="8.46484375" style="1" bestFit="1" customWidth="1"/>
    <col min="65" max="65" width="19.9296875" style="1" bestFit="1" customWidth="1"/>
    <col min="66" max="66" width="9.3984375" style="1" bestFit="1" customWidth="1"/>
    <col min="67" max="67" width="12.9296875" style="1" bestFit="1" customWidth="1"/>
    <col min="68" max="68" width="13.3984375" style="1" bestFit="1" customWidth="1"/>
    <col min="69" max="69" width="8.46484375" style="1" bestFit="1" customWidth="1"/>
    <col min="70" max="70" width="19.9296875" style="1" bestFit="1" customWidth="1"/>
    <col min="71" max="71" width="9.3984375" style="1" bestFit="1" customWidth="1"/>
    <col min="72" max="72" width="12.9296875" style="1" bestFit="1" customWidth="1"/>
    <col min="73" max="73" width="13.3984375" style="1" bestFit="1" customWidth="1"/>
    <col min="74" max="74" width="8.46484375" style="1" bestFit="1" customWidth="1"/>
    <col min="75" max="75" width="19.9296875" style="1" bestFit="1" customWidth="1"/>
    <col min="76" max="76" width="9.3984375" style="1" bestFit="1" customWidth="1"/>
    <col min="77" max="16384" width="9.06640625" style="1"/>
  </cols>
  <sheetData>
    <row r="1" spans="1:26" s="6" customFormat="1" ht="40.5" hidden="1" customHeight="1" outlineLevel="1">
      <c r="A1" s="43" t="s">
        <v>88</v>
      </c>
      <c r="B1" s="43" t="s">
        <v>22</v>
      </c>
      <c r="C1" s="43" t="s">
        <v>23</v>
      </c>
      <c r="D1" s="8" t="s">
        <v>24</v>
      </c>
      <c r="E1" s="8" t="s">
        <v>25</v>
      </c>
      <c r="F1" s="43" t="s">
        <v>26</v>
      </c>
      <c r="G1" s="43" t="s">
        <v>27</v>
      </c>
      <c r="H1" s="9" t="s">
        <v>28</v>
      </c>
      <c r="I1" s="43" t="s">
        <v>29</v>
      </c>
      <c r="J1" s="9" t="s">
        <v>30</v>
      </c>
      <c r="K1" s="9" t="s">
        <v>31</v>
      </c>
      <c r="L1" s="14" t="s">
        <v>32</v>
      </c>
      <c r="M1" s="43" t="s">
        <v>33</v>
      </c>
      <c r="N1" s="43" t="s">
        <v>34</v>
      </c>
      <c r="O1" s="14" t="s">
        <v>35</v>
      </c>
      <c r="P1" s="7" t="s">
        <v>36</v>
      </c>
      <c r="Q1" s="14" t="s">
        <v>37</v>
      </c>
      <c r="R1" s="43" t="s">
        <v>215</v>
      </c>
      <c r="S1" s="43" t="s">
        <v>216</v>
      </c>
      <c r="V1"/>
      <c r="W1"/>
      <c r="X1"/>
    </row>
    <row r="2" spans="1:26" ht="14.65" hidden="1" outlineLevel="1">
      <c r="A2" s="19" t="str">
        <f>Inputs!$A$3</f>
        <v>Base</v>
      </c>
      <c r="B2" s="42">
        <f>Timeline!A2</f>
        <v>1</v>
      </c>
      <c r="C2" s="2">
        <f>Timeline!B2</f>
        <v>45658</v>
      </c>
      <c r="D2" s="1">
        <f>IF(AND(B2&gt;=Inputs!$I$3+1,B2&lt;=Inputs!$I$3+Inputs!$H$3),1,0)</f>
        <v>0</v>
      </c>
      <c r="E2" s="1">
        <f>IF(AND(B2&gt;=Inputs!$I$3+1,B2&lt;=Inputs!$I$3+Inputs!$G$3),1,0)</f>
        <v>0</v>
      </c>
      <c r="F2" s="18">
        <f>Inputs!$E$3*POWER(1+Inputs!$F$3, (B2-1)/12)</f>
        <v>50</v>
      </c>
      <c r="G2" s="44">
        <f>D2*(1-E2)*(F2/12)*Inputs!$D$3</f>
        <v>0</v>
      </c>
      <c r="H2" s="18">
        <f>Inputs!$J$3*POWER(1+Inputs!$K$3, (B2-1)/12)</f>
        <v>12</v>
      </c>
      <c r="I2" s="44">
        <f>(H2/12)*Inputs!$D$3</f>
        <v>10000</v>
      </c>
      <c r="J2" s="44">
        <f>D2*Inputs!$L$3*I2</f>
        <v>0</v>
      </c>
      <c r="K2" s="18">
        <f>-(G2+J2)*Inputs!$M$3</f>
        <v>0</v>
      </c>
      <c r="L2" s="44">
        <f t="shared" ref="L2:L13" si="0">G2+J2+K2-I2</f>
        <v>-10000</v>
      </c>
      <c r="M2" s="44">
        <f>IF(B2&lt;=Inputs!$P$3*12,-(Inputs!$N$3*Inputs!$D$3)/(Inputs!$P$3*12),0)</f>
        <v>-3333.3333333333335</v>
      </c>
      <c r="N2" s="18">
        <f>IF(B2&lt;=Inputs!$Q$3*12,-(Inputs!$O$3*(Inputs!$E$3/12)*Inputs!$D$3*(Inputs!$H$3-Inputs!$G$3))/(Inputs!$Q$3*12),0)</f>
        <v>-2048.6111111111113</v>
      </c>
      <c r="O2" s="44">
        <f t="shared" ref="O2:O13" si="1">L2+M2+N2</f>
        <v>-15381.944444444445</v>
      </c>
      <c r="P2" s="44">
        <f>-( Inputs!$R$3*( Inputs!$U$3*Inputs!$V$3 + (1-Inputs!$U$3)*(Inputs!$S$3+Inputs!$T$3) ) )/12</f>
        <v>-26041.666666666668</v>
      </c>
      <c r="Q2" s="44">
        <f t="shared" ref="Q2:Q13" si="2">O2+P2</f>
        <v>-41423.611111111109</v>
      </c>
      <c r="S2"/>
      <c r="V2"/>
      <c r="W2"/>
      <c r="X2"/>
    </row>
    <row r="3" spans="1:26" ht="14.65" hidden="1" outlineLevel="1">
      <c r="A3" s="19" t="str">
        <f>Inputs!$A$3</f>
        <v>Base</v>
      </c>
      <c r="B3" s="42">
        <f>Timeline!A3</f>
        <v>2</v>
      </c>
      <c r="C3" s="2">
        <f>Timeline!B3</f>
        <v>45689</v>
      </c>
      <c r="D3" s="1">
        <f>IF(AND(B3&gt;=Inputs!$I$3+1,B3&lt;=Inputs!$I$3+Inputs!$H$3),1,0)</f>
        <v>1</v>
      </c>
      <c r="E3" s="1">
        <f>IF(AND(B3&gt;=Inputs!$I$3+1,B3&lt;=Inputs!$I$3+Inputs!$G$3),1,0)</f>
        <v>1</v>
      </c>
      <c r="F3" s="18">
        <f>Inputs!$E$3*POWER(1+Inputs!$F$3, (B3-1)/12)</f>
        <v>50.123313488615182</v>
      </c>
      <c r="G3" s="44">
        <f>D3*(1-E3)*(F3/12)*Inputs!$D$3</f>
        <v>0</v>
      </c>
      <c r="H3" s="18">
        <f>Inputs!$J$3*POWER(1+Inputs!$K$3, (B3-1)/12)</f>
        <v>12.024718035238113</v>
      </c>
      <c r="I3" s="44">
        <f>(H3/12)*Inputs!$D$3</f>
        <v>10020.598362698427</v>
      </c>
      <c r="J3" s="44">
        <f>D3*Inputs!$L$3*I3</f>
        <v>8016.4786901587422</v>
      </c>
      <c r="K3" s="18">
        <f>-(G3+J3)*Inputs!$M$3</f>
        <v>-80.164786901587419</v>
      </c>
      <c r="L3" s="44">
        <f t="shared" si="0"/>
        <v>-2084.2844594412727</v>
      </c>
      <c r="M3" s="44">
        <f>IF(B3&lt;=Inputs!$P$3*12,-(Inputs!$N$3*Inputs!$D$3)/(Inputs!$P$3*12),0)</f>
        <v>-3333.3333333333335</v>
      </c>
      <c r="N3" s="18">
        <f>IF(B3&lt;=Inputs!$Q$3*12,-(Inputs!$O$3*(Inputs!$E$3/12)*Inputs!$D$3*(Inputs!$H$3-Inputs!$G$3))/(Inputs!$Q$3*12),0)</f>
        <v>-2048.6111111111113</v>
      </c>
      <c r="O3" s="44">
        <f t="shared" si="1"/>
        <v>-7466.228903885718</v>
      </c>
      <c r="P3" s="44">
        <f>-( Inputs!$R$3*( Inputs!$U$3*Inputs!$V$3 + (1-Inputs!$U$3)*(Inputs!$S$3+Inputs!$T$3) ) )/12</f>
        <v>-26041.666666666668</v>
      </c>
      <c r="Q3" s="44">
        <f t="shared" si="2"/>
        <v>-33507.895570552384</v>
      </c>
      <c r="S3"/>
      <c r="V3"/>
      <c r="W3"/>
      <c r="X3"/>
    </row>
    <row r="4" spans="1:26" ht="14.65" hidden="1" outlineLevel="1">
      <c r="A4" s="19" t="str">
        <f>Inputs!$A$3</f>
        <v>Base</v>
      </c>
      <c r="B4" s="42">
        <f>Timeline!A4</f>
        <v>3</v>
      </c>
      <c r="C4" s="2">
        <f>Timeline!B4</f>
        <v>45717</v>
      </c>
      <c r="D4" s="1">
        <f>IF(AND(B4&gt;=Inputs!$I$3+1,B4&lt;=Inputs!$I$3+Inputs!$H$3),1,0)</f>
        <v>1</v>
      </c>
      <c r="E4" s="1">
        <f>IF(AND(B4&gt;=Inputs!$I$3+1,B4&lt;=Inputs!$I$3+Inputs!$G$3),1,0)</f>
        <v>0</v>
      </c>
      <c r="F4" s="18">
        <f>Inputs!$E$3*POWER(1+Inputs!$F$3, (B4-1)/12)</f>
        <v>50.246931101559845</v>
      </c>
      <c r="G4" s="44">
        <f>D4*(1-E4)*(F4/12)*Inputs!$D$3</f>
        <v>41872.442584633209</v>
      </c>
      <c r="H4" s="18">
        <f>Inputs!$J$3*POWER(1+Inputs!$K$3, (B4-1)/12)</f>
        <v>12.04948698558173</v>
      </c>
      <c r="I4" s="44">
        <f>(H4/12)*Inputs!$D$3</f>
        <v>10041.239154651443</v>
      </c>
      <c r="J4" s="44">
        <f>D4*Inputs!$L$3*I4</f>
        <v>8032.9913237211549</v>
      </c>
      <c r="K4" s="18">
        <f>-(G4+J4)*Inputs!$M$3</f>
        <v>-499.0543390835436</v>
      </c>
      <c r="L4" s="44">
        <f t="shared" si="0"/>
        <v>39365.140414619374</v>
      </c>
      <c r="M4" s="44">
        <f>IF(B4&lt;=Inputs!$P$3*12,-(Inputs!$N$3*Inputs!$D$3)/(Inputs!$P$3*12),0)</f>
        <v>-3333.3333333333335</v>
      </c>
      <c r="N4" s="18">
        <f>IF(B4&lt;=Inputs!$Q$3*12,-(Inputs!$O$3*(Inputs!$E$3/12)*Inputs!$D$3*(Inputs!$H$3-Inputs!$G$3))/(Inputs!$Q$3*12),0)</f>
        <v>-2048.6111111111113</v>
      </c>
      <c r="O4" s="44">
        <f t="shared" si="1"/>
        <v>33983.195970174929</v>
      </c>
      <c r="P4" s="44">
        <f>-( Inputs!$R$3*( Inputs!$U$3*Inputs!$V$3 + (1-Inputs!$U$3)*(Inputs!$S$3+Inputs!$T$3) ) )/12</f>
        <v>-26041.666666666668</v>
      </c>
      <c r="Q4" s="44">
        <f t="shared" si="2"/>
        <v>7941.5293035082614</v>
      </c>
      <c r="S4"/>
      <c r="V4"/>
      <c r="W4"/>
      <c r="X4"/>
    </row>
    <row r="5" spans="1:26" ht="14.65" hidden="1" outlineLevel="1">
      <c r="A5" s="19" t="str">
        <f>Inputs!$A$3</f>
        <v>Base</v>
      </c>
      <c r="B5" s="42">
        <f>Timeline!A5</f>
        <v>4</v>
      </c>
      <c r="C5" s="2">
        <f>Timeline!B5</f>
        <v>45748</v>
      </c>
      <c r="D5" s="1">
        <f>IF(AND(B5&gt;=Inputs!$I$3+1,B5&lt;=Inputs!$I$3+Inputs!$H$3),1,0)</f>
        <v>1</v>
      </c>
      <c r="E5" s="1">
        <f>IF(AND(B5&gt;=Inputs!$I$3+1,B5&lt;=Inputs!$I$3+Inputs!$G$3),1,0)</f>
        <v>0</v>
      </c>
      <c r="F5" s="18">
        <f>Inputs!$E$3*POWER(1+Inputs!$F$3, (B5-1)/12)</f>
        <v>50.370853588886646</v>
      </c>
      <c r="G5" s="44">
        <f>D5*(1-E5)*(F5/12)*Inputs!$D$3</f>
        <v>41975.711324072203</v>
      </c>
      <c r="H5" s="18">
        <f>Inputs!$J$3*POWER(1+Inputs!$K$3, (B5-1)/12)</f>
        <v>12.074306955907634</v>
      </c>
      <c r="I5" s="44">
        <f>(H5/12)*Inputs!$D$3</f>
        <v>10061.92246325636</v>
      </c>
      <c r="J5" s="44">
        <f>D5*Inputs!$L$3*I5</f>
        <v>8049.537970605088</v>
      </c>
      <c r="K5" s="18">
        <f>-(G5+J5)*Inputs!$M$3</f>
        <v>-500.25249294677292</v>
      </c>
      <c r="L5" s="44">
        <f t="shared" si="0"/>
        <v>39463.074338474151</v>
      </c>
      <c r="M5" s="44">
        <f>IF(B5&lt;=Inputs!$P$3*12,-(Inputs!$N$3*Inputs!$D$3)/(Inputs!$P$3*12),0)</f>
        <v>-3333.3333333333335</v>
      </c>
      <c r="N5" s="18">
        <f>IF(B5&lt;=Inputs!$Q$3*12,-(Inputs!$O$3*(Inputs!$E$3/12)*Inputs!$D$3*(Inputs!$H$3-Inputs!$G$3))/(Inputs!$Q$3*12),0)</f>
        <v>-2048.6111111111113</v>
      </c>
      <c r="O5" s="44">
        <f t="shared" si="1"/>
        <v>34081.129894029706</v>
      </c>
      <c r="P5" s="44">
        <f>-( Inputs!$R$3*( Inputs!$U$3*Inputs!$V$3 + (1-Inputs!$U$3)*(Inputs!$S$3+Inputs!$T$3) ) )/12</f>
        <v>-26041.666666666668</v>
      </c>
      <c r="Q5" s="44">
        <f t="shared" si="2"/>
        <v>8039.4632273630377</v>
      </c>
      <c r="S5"/>
      <c r="V5"/>
      <c r="W5"/>
      <c r="X5"/>
    </row>
    <row r="6" spans="1:26" ht="14.65" hidden="1" outlineLevel="1">
      <c r="A6" s="19" t="str">
        <f>Inputs!$A$3</f>
        <v>Base</v>
      </c>
      <c r="B6" s="42">
        <f>Timeline!A6</f>
        <v>5</v>
      </c>
      <c r="C6" s="2">
        <f>Timeline!B6</f>
        <v>45778</v>
      </c>
      <c r="D6" s="1">
        <f>IF(AND(B6&gt;=Inputs!$I$3+1,B6&lt;=Inputs!$I$3+Inputs!$H$3),1,0)</f>
        <v>1</v>
      </c>
      <c r="E6" s="1">
        <f>IF(AND(B6&gt;=Inputs!$I$3+1,B6&lt;=Inputs!$I$3+Inputs!$G$3),1,0)</f>
        <v>0</v>
      </c>
      <c r="F6" s="18">
        <f>Inputs!$E$3*POWER(1+Inputs!$F$3, (B6-1)/12)</f>
        <v>50.495081702498048</v>
      </c>
      <c r="G6" s="44">
        <f>D6*(1-E6)*(F6/12)*Inputs!$D$3</f>
        <v>42079.234752081706</v>
      </c>
      <c r="H6" s="18">
        <f>Inputs!$J$3*POWER(1+Inputs!$K$3, (B6-1)/12)</f>
        <v>12.099178051308627</v>
      </c>
      <c r="I6" s="44">
        <f>(H6/12)*Inputs!$D$3</f>
        <v>10082.648376090521</v>
      </c>
      <c r="J6" s="44">
        <f>D6*Inputs!$L$3*I6</f>
        <v>8066.1187008724173</v>
      </c>
      <c r="K6" s="18">
        <f>-(G6+J6)*Inputs!$M$3</f>
        <v>-501.45353452954123</v>
      </c>
      <c r="L6" s="44">
        <f t="shared" si="0"/>
        <v>39561.251542334052</v>
      </c>
      <c r="M6" s="44">
        <f>IF(B6&lt;=Inputs!$P$3*12,-(Inputs!$N$3*Inputs!$D$3)/(Inputs!$P$3*12),0)</f>
        <v>-3333.3333333333335</v>
      </c>
      <c r="N6" s="18">
        <f>IF(B6&lt;=Inputs!$Q$3*12,-(Inputs!$O$3*(Inputs!$E$3/12)*Inputs!$D$3*(Inputs!$H$3-Inputs!$G$3))/(Inputs!$Q$3*12),0)</f>
        <v>-2048.6111111111113</v>
      </c>
      <c r="O6" s="44">
        <f t="shared" si="1"/>
        <v>34179.307097889607</v>
      </c>
      <c r="P6" s="44">
        <f>-( Inputs!$R$3*( Inputs!$U$3*Inputs!$V$3 + (1-Inputs!$U$3)*(Inputs!$S$3+Inputs!$T$3) ) )/12</f>
        <v>-26041.666666666668</v>
      </c>
      <c r="Q6" s="44">
        <f t="shared" si="2"/>
        <v>8137.6404312229388</v>
      </c>
      <c r="S6"/>
      <c r="V6"/>
      <c r="W6"/>
      <c r="X6"/>
    </row>
    <row r="7" spans="1:26" ht="14.65" hidden="1" outlineLevel="1">
      <c r="A7" s="19" t="str">
        <f>Inputs!$A$3</f>
        <v>Base</v>
      </c>
      <c r="B7" s="42">
        <f>Timeline!A7</f>
        <v>6</v>
      </c>
      <c r="C7" s="2">
        <f>Timeline!B7</f>
        <v>45809</v>
      </c>
      <c r="D7" s="1">
        <f>IF(AND(B7&gt;=Inputs!$I$3+1,B7&lt;=Inputs!$I$3+Inputs!$H$3),1,0)</f>
        <v>1</v>
      </c>
      <c r="E7" s="1">
        <f>IF(AND(B7&gt;=Inputs!$I$3+1,B7&lt;=Inputs!$I$3+Inputs!$G$3),1,0)</f>
        <v>0</v>
      </c>
      <c r="F7" s="18">
        <f>Inputs!$E$3*POWER(1+Inputs!$F$3, (B7-1)/12)</f>
        <v>50.619616196150915</v>
      </c>
      <c r="G7" s="44">
        <f>D7*(1-E7)*(F7/12)*Inputs!$D$3</f>
        <v>42183.013496792431</v>
      </c>
      <c r="H7" s="18">
        <f>Inputs!$J$3*POWER(1+Inputs!$K$3, (B7-1)/12)</f>
        <v>12.124100377093999</v>
      </c>
      <c r="I7" s="44">
        <f>(H7/12)*Inputs!$D$3</f>
        <v>10103.416980911667</v>
      </c>
      <c r="J7" s="44">
        <f>D7*Inputs!$L$3*I7</f>
        <v>8082.7335847293334</v>
      </c>
      <c r="K7" s="18">
        <f>-(G7+J7)*Inputs!$M$3</f>
        <v>-502.65747081521766</v>
      </c>
      <c r="L7" s="44">
        <f t="shared" si="0"/>
        <v>39659.672629794884</v>
      </c>
      <c r="M7" s="44">
        <f>IF(B7&lt;=Inputs!$P$3*12,-(Inputs!$N$3*Inputs!$D$3)/(Inputs!$P$3*12),0)</f>
        <v>-3333.3333333333335</v>
      </c>
      <c r="N7" s="18">
        <f>IF(B7&lt;=Inputs!$Q$3*12,-(Inputs!$O$3*(Inputs!$E$3/12)*Inputs!$D$3*(Inputs!$H$3-Inputs!$G$3))/(Inputs!$Q$3*12),0)</f>
        <v>-2048.6111111111113</v>
      </c>
      <c r="O7" s="44">
        <f t="shared" si="1"/>
        <v>34277.728185350439</v>
      </c>
      <c r="P7" s="44">
        <f>-( Inputs!$R$3*( Inputs!$U$3*Inputs!$V$3 + (1-Inputs!$U$3)*(Inputs!$S$3+Inputs!$T$3) ) )/12</f>
        <v>-26041.666666666668</v>
      </c>
      <c r="Q7" s="44">
        <f t="shared" si="2"/>
        <v>8236.0615186837713</v>
      </c>
      <c r="S7"/>
      <c r="V7"/>
      <c r="W7"/>
      <c r="X7"/>
    </row>
    <row r="8" spans="1:26" ht="14.65" hidden="1" outlineLevel="1">
      <c r="A8" s="19" t="str">
        <f>Inputs!$A$3</f>
        <v>Base</v>
      </c>
      <c r="B8" s="42">
        <f>Timeline!A8</f>
        <v>7</v>
      </c>
      <c r="C8" s="2">
        <f>Timeline!B8</f>
        <v>45839</v>
      </c>
      <c r="D8" s="1">
        <f>IF(AND(B8&gt;=Inputs!$I$3+1,B8&lt;=Inputs!$I$3+Inputs!$H$3),1,0)</f>
        <v>1</v>
      </c>
      <c r="E8" s="1">
        <f>IF(AND(B8&gt;=Inputs!$I$3+1,B8&lt;=Inputs!$I$3+Inputs!$G$3),1,0)</f>
        <v>0</v>
      </c>
      <c r="F8" s="18">
        <f>Inputs!$E$3*POWER(1+Inputs!$F$3, (B8-1)/12)</f>
        <v>50.744457825461097</v>
      </c>
      <c r="G8" s="44">
        <f>D8*(1-E8)*(F8/12)*Inputs!$D$3</f>
        <v>42287.048187884247</v>
      </c>
      <c r="H8" s="18">
        <f>Inputs!$J$3*POWER(1+Inputs!$K$3, (B8-1)/12)</f>
        <v>12.149074038789951</v>
      </c>
      <c r="I8" s="44">
        <f>(H8/12)*Inputs!$D$3</f>
        <v>10124.228365658291</v>
      </c>
      <c r="J8" s="44">
        <f>D8*Inputs!$L$3*I8</f>
        <v>8099.382692526633</v>
      </c>
      <c r="K8" s="18">
        <f>-(G8+J8)*Inputs!$M$3</f>
        <v>-503.86430880410882</v>
      </c>
      <c r="L8" s="44">
        <f t="shared" si="0"/>
        <v>39758.338205948487</v>
      </c>
      <c r="M8" s="44">
        <f>IF(B8&lt;=Inputs!$P$3*12,-(Inputs!$N$3*Inputs!$D$3)/(Inputs!$P$3*12),0)</f>
        <v>-3333.3333333333335</v>
      </c>
      <c r="N8" s="18">
        <f>IF(B8&lt;=Inputs!$Q$3*12,-(Inputs!$O$3*(Inputs!$E$3/12)*Inputs!$D$3*(Inputs!$H$3-Inputs!$G$3))/(Inputs!$Q$3*12),0)</f>
        <v>-2048.6111111111113</v>
      </c>
      <c r="O8" s="44">
        <f t="shared" si="1"/>
        <v>34376.393761504041</v>
      </c>
      <c r="P8" s="44">
        <f>-( Inputs!$R$3*( Inputs!$U$3*Inputs!$V$3 + (1-Inputs!$U$3)*(Inputs!$S$3+Inputs!$T$3) ) )/12</f>
        <v>-26041.666666666668</v>
      </c>
      <c r="Q8" s="44">
        <f t="shared" si="2"/>
        <v>8334.7270948373734</v>
      </c>
      <c r="S8"/>
      <c r="V8"/>
      <c r="W8"/>
      <c r="X8"/>
    </row>
    <row r="9" spans="1:26" ht="14.65" hidden="1" outlineLevel="1">
      <c r="A9" s="19" t="str">
        <f>Inputs!$A$3</f>
        <v>Base</v>
      </c>
      <c r="B9" s="42">
        <f>Timeline!A9</f>
        <v>8</v>
      </c>
      <c r="C9" s="2">
        <f>Timeline!B9</f>
        <v>45870</v>
      </c>
      <c r="D9" s="1">
        <f>IF(AND(B9&gt;=Inputs!$I$3+1,B9&lt;=Inputs!$I$3+Inputs!$H$3),1,0)</f>
        <v>1</v>
      </c>
      <c r="E9" s="1">
        <f>IF(AND(B9&gt;=Inputs!$I$3+1,B9&lt;=Inputs!$I$3+Inputs!$G$3),1,0)</f>
        <v>0</v>
      </c>
      <c r="F9" s="18">
        <f>Inputs!$E$3*POWER(1+Inputs!$F$3, (B9-1)/12)</f>
        <v>50.869607347907966</v>
      </c>
      <c r="G9" s="44">
        <f>D9*(1-E9)*(F9/12)*Inputs!$D$3</f>
        <v>42391.339456589973</v>
      </c>
      <c r="H9" s="18">
        <f>Inputs!$J$3*POWER(1+Inputs!$K$3, (B9-1)/12)</f>
        <v>12.174099142140058</v>
      </c>
      <c r="I9" s="44">
        <f>(H9/12)*Inputs!$D$3</f>
        <v>10145.082618450047</v>
      </c>
      <c r="J9" s="44">
        <f>D9*Inputs!$L$3*I9</f>
        <v>8116.0660947600381</v>
      </c>
      <c r="K9" s="18">
        <f>-(G9+J9)*Inputs!$M$3</f>
        <v>-505.07405551350013</v>
      </c>
      <c r="L9" s="44">
        <f t="shared" si="0"/>
        <v>39857.248877386468</v>
      </c>
      <c r="M9" s="44">
        <f>IF(B9&lt;=Inputs!$P$3*12,-(Inputs!$N$3*Inputs!$D$3)/(Inputs!$P$3*12),0)</f>
        <v>-3333.3333333333335</v>
      </c>
      <c r="N9" s="18">
        <f>IF(B9&lt;=Inputs!$Q$3*12,-(Inputs!$O$3*(Inputs!$E$3/12)*Inputs!$D$3*(Inputs!$H$3-Inputs!$G$3))/(Inputs!$Q$3*12),0)</f>
        <v>-2048.6111111111113</v>
      </c>
      <c r="O9" s="44">
        <f t="shared" si="1"/>
        <v>34475.304432942023</v>
      </c>
      <c r="P9" s="44">
        <f>-( Inputs!$R$3*( Inputs!$U$3*Inputs!$V$3 + (1-Inputs!$U$3)*(Inputs!$S$3+Inputs!$T$3) ) )/12</f>
        <v>-26041.666666666668</v>
      </c>
      <c r="Q9" s="44">
        <f t="shared" si="2"/>
        <v>8433.6377662753548</v>
      </c>
      <c r="S9"/>
      <c r="V9"/>
      <c r="W9"/>
      <c r="X9"/>
    </row>
    <row r="10" spans="1:26" hidden="1" outlineLevel="1">
      <c r="A10" s="19" t="str">
        <f>Inputs!$A$3</f>
        <v>Base</v>
      </c>
      <c r="B10" s="42">
        <f>Timeline!A10</f>
        <v>9</v>
      </c>
      <c r="C10" s="2">
        <f>Timeline!B10</f>
        <v>45901</v>
      </c>
      <c r="D10" s="1">
        <f>IF(AND(B10&gt;=Inputs!$I$3+1,B10&lt;=Inputs!$I$3+Inputs!$H$3),1,0)</f>
        <v>1</v>
      </c>
      <c r="E10" s="1">
        <f>IF(AND(B10&gt;=Inputs!$I$3+1,B10&lt;=Inputs!$I$3+Inputs!$G$3),1,0)</f>
        <v>0</v>
      </c>
      <c r="F10" s="18">
        <f>Inputs!$E$3*POWER(1+Inputs!$F$3, (B10-1)/12)</f>
        <v>50.99506552283907</v>
      </c>
      <c r="G10" s="44">
        <f>D10*(1-E10)*(F10/12)*Inputs!$D$3</f>
        <v>42495.887935699226</v>
      </c>
      <c r="H10" s="18">
        <f>Inputs!$J$3*POWER(1+Inputs!$K$3, (B10-1)/12)</f>
        <v>12.199175793105699</v>
      </c>
      <c r="I10" s="44">
        <f>(H10/12)*Inputs!$D$3</f>
        <v>10165.979827588084</v>
      </c>
      <c r="J10" s="44">
        <f>D10*Inputs!$L$3*I10</f>
        <v>8132.7838620704679</v>
      </c>
      <c r="K10" s="18">
        <f>-(G10+J10)*Inputs!$M$3</f>
        <v>-506.28671797769698</v>
      </c>
      <c r="L10" s="44">
        <f t="shared" si="0"/>
        <v>39956.40525220392</v>
      </c>
      <c r="M10" s="44">
        <f>IF(B10&lt;=Inputs!$P$3*12,-(Inputs!$N$3*Inputs!$D$3)/(Inputs!$P$3*12),0)</f>
        <v>-3333.3333333333335</v>
      </c>
      <c r="N10" s="18">
        <f>IF(B10&lt;=Inputs!$Q$3*12,-(Inputs!$O$3*(Inputs!$E$3/12)*Inputs!$D$3*(Inputs!$H$3-Inputs!$G$3))/(Inputs!$Q$3*12),0)</f>
        <v>-2048.6111111111113</v>
      </c>
      <c r="O10" s="44">
        <f t="shared" si="1"/>
        <v>34574.460807759475</v>
      </c>
      <c r="P10" s="44">
        <f>-( Inputs!$R$3*( Inputs!$U$3*Inputs!$V$3 + (1-Inputs!$U$3)*(Inputs!$S$3+Inputs!$T$3) ) )/12</f>
        <v>-26041.666666666668</v>
      </c>
      <c r="Q10" s="44">
        <f t="shared" si="2"/>
        <v>8532.794141092807</v>
      </c>
    </row>
    <row r="11" spans="1:26" hidden="1" outlineLevel="1">
      <c r="A11" s="19" t="str">
        <f>Inputs!$A$3</f>
        <v>Base</v>
      </c>
      <c r="B11" s="42">
        <f>Timeline!A11</f>
        <v>10</v>
      </c>
      <c r="C11" s="2">
        <f>Timeline!B11</f>
        <v>45931</v>
      </c>
      <c r="D11" s="1">
        <f>IF(AND(B11&gt;=Inputs!$I$3+1,B11&lt;=Inputs!$I$3+Inputs!$H$3),1,0)</f>
        <v>1</v>
      </c>
      <c r="E11" s="1">
        <f>IF(AND(B11&gt;=Inputs!$I$3+1,B11&lt;=Inputs!$I$3+Inputs!$G$3),1,0)</f>
        <v>0</v>
      </c>
      <c r="F11" s="18">
        <f>Inputs!$E$3*POWER(1+Inputs!$F$3, (B11-1)/12)</f>
        <v>51.120833111474681</v>
      </c>
      <c r="G11" s="44">
        <f>D11*(1-E11)*(F11/12)*Inputs!$D$3</f>
        <v>42600.694259562239</v>
      </c>
      <c r="H11" s="18">
        <f>Inputs!$J$3*POWER(1+Inputs!$K$3, (B11-1)/12)</f>
        <v>12.224304097866527</v>
      </c>
      <c r="I11" s="44">
        <f>(H11/12)*Inputs!$D$3</f>
        <v>10186.92008155544</v>
      </c>
      <c r="J11" s="44">
        <f>D11*Inputs!$L$3*I11</f>
        <v>8149.5360652443524</v>
      </c>
      <c r="K11" s="18">
        <f>-(G11+J11)*Inputs!$M$3</f>
        <v>-507.50230324806586</v>
      </c>
      <c r="L11" s="44">
        <f t="shared" si="0"/>
        <v>40055.807940003084</v>
      </c>
      <c r="M11" s="44">
        <f>IF(B11&lt;=Inputs!$P$3*12,-(Inputs!$N$3*Inputs!$D$3)/(Inputs!$P$3*12),0)</f>
        <v>-3333.3333333333335</v>
      </c>
      <c r="N11" s="18">
        <f>IF(B11&lt;=Inputs!$Q$3*12,-(Inputs!$O$3*(Inputs!$E$3/12)*Inputs!$D$3*(Inputs!$H$3-Inputs!$G$3))/(Inputs!$Q$3*12),0)</f>
        <v>-2048.6111111111113</v>
      </c>
      <c r="O11" s="44">
        <f t="shared" si="1"/>
        <v>34673.863495558639</v>
      </c>
      <c r="P11" s="44">
        <f>-( Inputs!$R$3*( Inputs!$U$3*Inputs!$V$3 + (1-Inputs!$U$3)*(Inputs!$S$3+Inputs!$T$3) ) )/12</f>
        <v>-26041.666666666668</v>
      </c>
      <c r="Q11" s="44">
        <f t="shared" si="2"/>
        <v>8632.1968288919707</v>
      </c>
    </row>
    <row r="12" spans="1:26" hidden="1" outlineLevel="1">
      <c r="A12" s="19" t="str">
        <f>Inputs!$A$3</f>
        <v>Base</v>
      </c>
      <c r="B12" s="42">
        <f>Timeline!A12</f>
        <v>11</v>
      </c>
      <c r="C12" s="2">
        <f>Timeline!B12</f>
        <v>45962</v>
      </c>
      <c r="D12" s="1">
        <f>IF(AND(B12&gt;=Inputs!$I$3+1,B12&lt;=Inputs!$I$3+Inputs!$H$3),1,0)</f>
        <v>1</v>
      </c>
      <c r="E12" s="1">
        <f>IF(AND(B12&gt;=Inputs!$I$3+1,B12&lt;=Inputs!$I$3+Inputs!$G$3),1,0)</f>
        <v>0</v>
      </c>
      <c r="F12" s="18">
        <f>Inputs!$E$3*POWER(1+Inputs!$F$3, (B12-1)/12)</f>
        <v>51.246910876912487</v>
      </c>
      <c r="G12" s="44">
        <f>D12*(1-E12)*(F12/12)*Inputs!$D$3</f>
        <v>42705.759064093741</v>
      </c>
      <c r="H12" s="18">
        <f>Inputs!$J$3*POWER(1+Inputs!$K$3, (B12-1)/12)</f>
        <v>12.249484162820902</v>
      </c>
      <c r="I12" s="44">
        <f>(H12/12)*Inputs!$D$3</f>
        <v>10207.903469017419</v>
      </c>
      <c r="J12" s="44">
        <f>D12*Inputs!$L$3*I12</f>
        <v>8166.3227752139355</v>
      </c>
      <c r="K12" s="18">
        <f>-(G12+J12)*Inputs!$M$3</f>
        <v>-508.7208183930768</v>
      </c>
      <c r="L12" s="44">
        <f t="shared" si="0"/>
        <v>40155.457551897183</v>
      </c>
      <c r="M12" s="44">
        <f>IF(B12&lt;=Inputs!$P$3*12,-(Inputs!$N$3*Inputs!$D$3)/(Inputs!$P$3*12),0)</f>
        <v>-3333.3333333333335</v>
      </c>
      <c r="N12" s="18">
        <f>IF(B12&lt;=Inputs!$Q$3*12,-(Inputs!$O$3*(Inputs!$E$3/12)*Inputs!$D$3*(Inputs!$H$3-Inputs!$G$3))/(Inputs!$Q$3*12),0)</f>
        <v>-2048.6111111111113</v>
      </c>
      <c r="O12" s="44">
        <f t="shared" si="1"/>
        <v>34773.513107452738</v>
      </c>
      <c r="P12" s="44">
        <f>-( Inputs!$R$3*( Inputs!$U$3*Inputs!$V$3 + (1-Inputs!$U$3)*(Inputs!$S$3+Inputs!$T$3) ) )/12</f>
        <v>-26041.666666666668</v>
      </c>
      <c r="Q12" s="44">
        <f t="shared" si="2"/>
        <v>8731.8464407860702</v>
      </c>
    </row>
    <row r="13" spans="1:26" hidden="1" outlineLevel="1">
      <c r="A13" s="19" t="str">
        <f>Inputs!$A$3</f>
        <v>Base</v>
      </c>
      <c r="B13" s="42">
        <f>Timeline!A13</f>
        <v>12</v>
      </c>
      <c r="C13" s="2">
        <f>Timeline!B13</f>
        <v>45992</v>
      </c>
      <c r="D13" s="1">
        <f>IF(AND(B13&gt;=Inputs!$I$3+1,B13&lt;=Inputs!$I$3+Inputs!$H$3),1,0)</f>
        <v>1</v>
      </c>
      <c r="E13" s="1">
        <f>IF(AND(B13&gt;=Inputs!$I$3+1,B13&lt;=Inputs!$I$3+Inputs!$G$3),1,0)</f>
        <v>0</v>
      </c>
      <c r="F13" s="18">
        <f>Inputs!$E$3*POWER(1+Inputs!$F$3, (B13-1)/12)</f>
        <v>51.373299584132162</v>
      </c>
      <c r="G13" s="44">
        <f>D13*(1-E13)*(F13/12)*Inputs!$D$3</f>
        <v>42811.082986776804</v>
      </c>
      <c r="H13" s="18">
        <f>Inputs!$J$3*POWER(1+Inputs!$K$3, (B13-1)/12)</f>
        <v>12.274716094586347</v>
      </c>
      <c r="I13" s="44">
        <f>(H13/12)*Inputs!$D$3</f>
        <v>10228.930078821955</v>
      </c>
      <c r="J13" s="44">
        <f>D13*Inputs!$L$3*I13</f>
        <v>8183.1440630575644</v>
      </c>
      <c r="K13" s="18">
        <f>-(G13+J13)*Inputs!$M$3</f>
        <v>-509.9422704983437</v>
      </c>
      <c r="L13" s="44">
        <f t="shared" si="0"/>
        <v>40255.354700514072</v>
      </c>
      <c r="M13" s="44">
        <f>IF(B13&lt;=Inputs!$P$3*12,-(Inputs!$N$3*Inputs!$D$3)/(Inputs!$P$3*12),0)</f>
        <v>-3333.3333333333335</v>
      </c>
      <c r="N13" s="18">
        <f>IF(B13&lt;=Inputs!$Q$3*12,-(Inputs!$O$3*(Inputs!$E$3/12)*Inputs!$D$3*(Inputs!$H$3-Inputs!$G$3))/(Inputs!$Q$3*12),0)</f>
        <v>-2048.6111111111113</v>
      </c>
      <c r="O13" s="44">
        <f t="shared" si="1"/>
        <v>34873.410256069626</v>
      </c>
      <c r="P13" s="44">
        <f>-( Inputs!$R$3*( Inputs!$U$3*Inputs!$V$3 + (1-Inputs!$U$3)*(Inputs!$S$3+Inputs!$T$3) ) )/12</f>
        <v>-26041.666666666668</v>
      </c>
      <c r="Q13" s="44">
        <f t="shared" si="2"/>
        <v>8831.7435894029586</v>
      </c>
    </row>
    <row r="14" spans="1:26" s="13" customFormat="1" hidden="1" outlineLevel="1">
      <c r="B14" s="15" t="s">
        <v>38</v>
      </c>
      <c r="C14" s="15"/>
      <c r="D14" s="15"/>
      <c r="E14" s="15"/>
      <c r="F14" s="17">
        <f>SUM(F2:F13)</f>
        <v>608.20597034643811</v>
      </c>
      <c r="G14" s="16">
        <f>SUM(G2:G13)</f>
        <v>423402.21404818585</v>
      </c>
      <c r="H14" s="15"/>
      <c r="I14" s="16">
        <f t="shared" ref="I14:Q14" si="3">SUM(I2:I13)</f>
        <v>121368.86977869966</v>
      </c>
      <c r="J14" s="16">
        <f t="shared" si="3"/>
        <v>89095.095822959731</v>
      </c>
      <c r="K14" s="17">
        <f t="shared" si="3"/>
        <v>-5124.9730987114553</v>
      </c>
      <c r="L14" s="16">
        <f t="shared" si="3"/>
        <v>386003.4669937343</v>
      </c>
      <c r="M14" s="16">
        <f t="shared" si="3"/>
        <v>-40000</v>
      </c>
      <c r="N14" s="16">
        <f t="shared" si="3"/>
        <v>-24583.333333333328</v>
      </c>
      <c r="O14" s="16">
        <f t="shared" si="3"/>
        <v>321420.1336604011</v>
      </c>
      <c r="P14" s="16">
        <f t="shared" si="3"/>
        <v>-312500</v>
      </c>
      <c r="Q14" s="16">
        <f t="shared" si="3"/>
        <v>8920.1336604010539</v>
      </c>
    </row>
    <row r="15" spans="1:26" customFormat="1" ht="13.5" hidden="1" outlineLevel="1"/>
    <row r="16" spans="1:26" collapsed="1">
      <c r="C16" s="75"/>
      <c r="D16" s="75"/>
      <c r="E16" s="75"/>
      <c r="F16" s="75"/>
      <c r="G16" s="75"/>
      <c r="H16" s="75"/>
      <c r="I16" s="75"/>
      <c r="J16" s="76"/>
      <c r="K16" s="20"/>
      <c r="L16" s="83" t="s">
        <v>217</v>
      </c>
      <c r="M16" s="84"/>
      <c r="N16" s="85"/>
      <c r="O16" s="75"/>
      <c r="P16" s="75"/>
      <c r="Q16" s="83" t="s">
        <v>217</v>
      </c>
      <c r="R16" s="84"/>
      <c r="S16" s="85"/>
      <c r="U16" s="81" t="s">
        <v>91</v>
      </c>
      <c r="V16" s="82"/>
      <c r="W16" s="82"/>
      <c r="X16" s="82"/>
      <c r="Y16" s="82"/>
      <c r="Z16" s="82"/>
    </row>
    <row r="17" spans="3:38" s="42" customFormat="1" ht="42.75" collapsed="1">
      <c r="C17" s="77"/>
      <c r="D17" s="8" t="s">
        <v>7</v>
      </c>
      <c r="F17" s="73"/>
      <c r="G17" s="67" t="s">
        <v>4</v>
      </c>
      <c r="H17" s="68" t="s">
        <v>9</v>
      </c>
      <c r="J17" s="68" t="s">
        <v>10</v>
      </c>
      <c r="K17" s="68" t="s">
        <v>11</v>
      </c>
      <c r="L17" s="69" t="s">
        <v>32</v>
      </c>
      <c r="M17" s="66" t="s">
        <v>215</v>
      </c>
      <c r="N17" s="66" t="s">
        <v>216</v>
      </c>
      <c r="O17" s="69" t="s">
        <v>35</v>
      </c>
      <c r="P17" s="70" t="s">
        <v>18</v>
      </c>
      <c r="Q17" s="69" t="s">
        <v>37</v>
      </c>
      <c r="R17" s="66" t="s">
        <v>218</v>
      </c>
      <c r="S17" s="66" t="s">
        <v>219</v>
      </c>
      <c r="U17" s="14" t="s">
        <v>32</v>
      </c>
      <c r="V17" s="43" t="s">
        <v>215</v>
      </c>
      <c r="W17" s="43" t="s">
        <v>216</v>
      </c>
      <c r="X17" s="14" t="s">
        <v>37</v>
      </c>
      <c r="Y17" s="43" t="s">
        <v>218</v>
      </c>
      <c r="Z17" s="43" t="s">
        <v>219</v>
      </c>
    </row>
    <row r="18" spans="3:38">
      <c r="C18" s="39" t="s">
        <v>78</v>
      </c>
      <c r="D18" s="26">
        <v>1</v>
      </c>
      <c r="G18" s="28">
        <v>0.03</v>
      </c>
      <c r="H18" s="29">
        <v>2.5000000000000001E-2</v>
      </c>
      <c r="J18" s="29">
        <v>0.8</v>
      </c>
      <c r="K18" s="29">
        <v>0.01</v>
      </c>
      <c r="L18" s="78">
        <f>N30</f>
        <v>386003.46699373442</v>
      </c>
      <c r="M18" s="20"/>
      <c r="N18" s="20"/>
      <c r="O18" s="78">
        <f>Q30</f>
        <v>321420.1336604011</v>
      </c>
      <c r="P18" s="30">
        <v>0.05</v>
      </c>
      <c r="Q18" s="78">
        <f>S30</f>
        <v>8920.1336604010503</v>
      </c>
      <c r="R18" s="20"/>
      <c r="S18" s="20"/>
      <c r="U18" s="78">
        <f>N26</f>
        <v>27280.8559551781</v>
      </c>
      <c r="V18" s="20"/>
      <c r="W18" s="20"/>
      <c r="X18" s="78">
        <f>S26</f>
        <v>-66989.977378155236</v>
      </c>
      <c r="Y18" s="20"/>
      <c r="Z18" s="20"/>
    </row>
    <row r="19" spans="3:38">
      <c r="C19" s="21" t="s">
        <v>79</v>
      </c>
      <c r="D19" s="26">
        <v>1</v>
      </c>
      <c r="G19" s="28">
        <v>0.05</v>
      </c>
      <c r="H19" s="29">
        <v>1.4999999999999999E-2</v>
      </c>
      <c r="J19" s="29">
        <v>0.9</v>
      </c>
      <c r="K19" s="29">
        <v>5.0000000000000001E-3</v>
      </c>
      <c r="L19" s="78">
        <f>N35</f>
        <v>404134.05629014131</v>
      </c>
      <c r="M19" s="78">
        <f>L19-$L$18</f>
        <v>18130.589296406892</v>
      </c>
      <c r="N19" s="79">
        <f>L19/$L$18-1</f>
        <v>4.6970016714127594E-2</v>
      </c>
      <c r="O19" s="78">
        <f>Q35</f>
        <v>339550.72295680799</v>
      </c>
      <c r="P19" s="30">
        <v>0.05</v>
      </c>
      <c r="Q19" s="78">
        <f>S35</f>
        <v>27050.722956807986</v>
      </c>
      <c r="R19" s="78">
        <f>Q19-$Q$18</f>
        <v>18130.589296406935</v>
      </c>
      <c r="S19" s="80">
        <f>Q19/$Q$18-1</f>
        <v>2.0325468189892328</v>
      </c>
      <c r="U19" s="78">
        <f>N31</f>
        <v>29702.94056792745</v>
      </c>
      <c r="V19" s="78">
        <f>U19-$U$18</f>
        <v>2422.0846127493496</v>
      </c>
      <c r="W19" s="79">
        <f>U19/$U$18-1</f>
        <v>8.8783307119424171E-2</v>
      </c>
      <c r="X19" s="78">
        <f>S31</f>
        <v>-64567.892765405893</v>
      </c>
      <c r="Y19" s="78">
        <f>X19-$X$18</f>
        <v>2422.0846127493423</v>
      </c>
      <c r="Z19" s="79">
        <f>X19/$X$18-1</f>
        <v>-3.6155925222616347E-2</v>
      </c>
    </row>
    <row r="20" spans="3:38">
      <c r="C20" s="38" t="s">
        <v>80</v>
      </c>
      <c r="D20" s="26">
        <v>2</v>
      </c>
      <c r="G20" s="28">
        <v>0</v>
      </c>
      <c r="H20" s="29">
        <v>3.5000000000000003E-2</v>
      </c>
      <c r="J20" s="29">
        <v>0.7</v>
      </c>
      <c r="K20" s="29">
        <v>0.02</v>
      </c>
      <c r="L20" s="78">
        <f>N40</f>
        <v>315479.61002203939</v>
      </c>
      <c r="M20" s="78">
        <f>L20-$L$18</f>
        <v>-70523.85697169503</v>
      </c>
      <c r="N20" s="79">
        <f>L20/$L$18-1</f>
        <v>-0.18270265166514621</v>
      </c>
      <c r="O20" s="78">
        <f>Q40</f>
        <v>250896.27668870601</v>
      </c>
      <c r="P20" s="30">
        <v>0.06</v>
      </c>
      <c r="Q20" s="78">
        <f>S40</f>
        <v>-86603.723311293987</v>
      </c>
      <c r="R20" s="78">
        <f>Q20-$Q$18</f>
        <v>-95523.85697169503</v>
      </c>
      <c r="S20" s="80">
        <f>Q20/$Q$18-1</f>
        <v>-10.708792111014205</v>
      </c>
      <c r="U20" s="78">
        <f>N36</f>
        <v>-23186.764111213259</v>
      </c>
      <c r="V20" s="78">
        <f>U20-$U$18</f>
        <v>-50467.620066391362</v>
      </c>
      <c r="W20" s="79">
        <f>U20/$U$18-1</f>
        <v>-1.8499280282594008</v>
      </c>
      <c r="X20" s="78">
        <f>S36</f>
        <v>-123707.59744454658</v>
      </c>
      <c r="Y20" s="78">
        <f>X20-$X$18</f>
        <v>-56717.620066391348</v>
      </c>
      <c r="Z20" s="79">
        <f>X20/$X$18-1</f>
        <v>0.84665829555700678</v>
      </c>
      <c r="AI20" s="45"/>
    </row>
    <row r="21" spans="3:38" customFormat="1" ht="13.5"/>
    <row r="22" spans="3:38" ht="14.65" hidden="1"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</row>
    <row r="23" spans="3:38" ht="14.65" hidden="1"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</row>
    <row r="24" spans="3:38" ht="14.65"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</row>
    <row r="25" spans="3:38" s="42" customFormat="1" ht="28.5">
      <c r="F25" s="6" t="s">
        <v>201</v>
      </c>
      <c r="G25" s="6" t="s">
        <v>202</v>
      </c>
      <c r="H25" s="6" t="s">
        <v>203</v>
      </c>
      <c r="I25" s="6" t="s">
        <v>204</v>
      </c>
      <c r="J25" s="6" t="s">
        <v>205</v>
      </c>
      <c r="K25" s="6" t="s">
        <v>206</v>
      </c>
      <c r="L25" s="6" t="s">
        <v>207</v>
      </c>
      <c r="M25" s="6" t="s">
        <v>208</v>
      </c>
      <c r="N25" s="6" t="s">
        <v>209</v>
      </c>
      <c r="O25" s="6" t="s">
        <v>210</v>
      </c>
      <c r="P25" s="6" t="s">
        <v>211</v>
      </c>
      <c r="Q25" s="6" t="s">
        <v>212</v>
      </c>
      <c r="R25" s="6" t="s">
        <v>213</v>
      </c>
      <c r="S25" s="6" t="s">
        <v>214</v>
      </c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</row>
    <row r="26" spans="3:38" ht="14.65">
      <c r="C26" s="1" t="s">
        <v>114</v>
      </c>
      <c r="D26" s="1" t="s">
        <v>90</v>
      </c>
      <c r="F26" s="1">
        <v>2</v>
      </c>
      <c r="G26" s="1">
        <v>1</v>
      </c>
      <c r="H26" s="18">
        <v>150.37024459017502</v>
      </c>
      <c r="I26" s="44">
        <v>41872.442584633209</v>
      </c>
      <c r="J26" s="18">
        <v>36.074205020819846</v>
      </c>
      <c r="K26" s="44">
        <v>30061.837517349872</v>
      </c>
      <c r="L26" s="44">
        <v>16049.470013879898</v>
      </c>
      <c r="M26" s="44">
        <v>-579.21912598513097</v>
      </c>
      <c r="N26" s="44">
        <v>27280.8559551781</v>
      </c>
      <c r="O26" s="44">
        <v>-10000</v>
      </c>
      <c r="P26" s="44">
        <v>-6145.8333333333339</v>
      </c>
      <c r="Q26" s="44">
        <v>11135.022621844764</v>
      </c>
      <c r="R26" s="44">
        <v>-78125</v>
      </c>
      <c r="S26" s="44">
        <v>-66989.977378155236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</row>
    <row r="27" spans="3:38" ht="14.65" hidden="1" outlineLevel="1">
      <c r="D27" s="1" t="s">
        <v>92</v>
      </c>
      <c r="F27" s="1">
        <v>3</v>
      </c>
      <c r="G27" s="1">
        <v>0</v>
      </c>
      <c r="H27" s="18">
        <v>151.48555148753559</v>
      </c>
      <c r="I27" s="44">
        <v>126237.95957294633</v>
      </c>
      <c r="J27" s="18">
        <v>36.29758538431026</v>
      </c>
      <c r="K27" s="44">
        <v>30247.987820258546</v>
      </c>
      <c r="L27" s="44">
        <v>24198.39025620684</v>
      </c>
      <c r="M27" s="44">
        <v>-1504.3634982915319</v>
      </c>
      <c r="N27" s="44">
        <v>118683.99851060309</v>
      </c>
      <c r="O27" s="44">
        <v>-10000</v>
      </c>
      <c r="P27" s="44">
        <v>-6145.8333333333339</v>
      </c>
      <c r="Q27" s="44">
        <v>102538.16517726975</v>
      </c>
      <c r="R27" s="44">
        <v>-78125</v>
      </c>
      <c r="S27" s="44">
        <v>24413.165177269748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 s="44"/>
      <c r="AK27" s="24"/>
      <c r="AL27" s="24"/>
    </row>
    <row r="28" spans="3:38" ht="14.65" hidden="1" outlineLevel="1">
      <c r="D28" s="1" t="s">
        <v>93</v>
      </c>
      <c r="F28" s="1">
        <v>3</v>
      </c>
      <c r="G28" s="1">
        <v>0</v>
      </c>
      <c r="H28" s="18">
        <v>152.60913069620813</v>
      </c>
      <c r="I28" s="44">
        <v>127174.27558017345</v>
      </c>
      <c r="J28" s="18">
        <v>36.522348974035708</v>
      </c>
      <c r="K28" s="44">
        <v>30435.290811696424</v>
      </c>
      <c r="L28" s="44">
        <v>24348.232649357138</v>
      </c>
      <c r="M28" s="44">
        <v>-1515.225082295306</v>
      </c>
      <c r="N28" s="44">
        <v>119571.99233553887</v>
      </c>
      <c r="O28" s="44">
        <v>-10000</v>
      </c>
      <c r="P28" s="44">
        <v>-6145.8333333333339</v>
      </c>
      <c r="Q28" s="44">
        <v>103426.15900220555</v>
      </c>
      <c r="R28" s="44">
        <v>-78125</v>
      </c>
      <c r="S28" s="44">
        <v>25301.159002205535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 s="44"/>
      <c r="AK28" s="24"/>
      <c r="AL28" s="24"/>
    </row>
    <row r="29" spans="3:38" ht="14.65" hidden="1" outlineLevel="1">
      <c r="D29" s="1" t="s">
        <v>94</v>
      </c>
      <c r="F29" s="1">
        <v>3</v>
      </c>
      <c r="G29" s="1">
        <v>0</v>
      </c>
      <c r="H29" s="18">
        <v>153.74104357251932</v>
      </c>
      <c r="I29" s="44">
        <v>128117.53631043278</v>
      </c>
      <c r="J29" s="18">
        <v>36.748504355273774</v>
      </c>
      <c r="K29" s="44">
        <v>30623.753629394814</v>
      </c>
      <c r="L29" s="44">
        <v>24499.002903515851</v>
      </c>
      <c r="M29" s="44">
        <v>-1526.1653921394864</v>
      </c>
      <c r="N29" s="44">
        <v>120466.62019241434</v>
      </c>
      <c r="O29" s="44">
        <v>-10000</v>
      </c>
      <c r="P29" s="44">
        <v>-6145.8333333333339</v>
      </c>
      <c r="Q29" s="44">
        <v>104320.78685908101</v>
      </c>
      <c r="R29" s="44">
        <v>-78125</v>
      </c>
      <c r="S29" s="44">
        <v>26195.786859080999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</row>
    <row r="30" spans="3:38" ht="14.65" collapsed="1">
      <c r="C30" s="64" t="s">
        <v>220</v>
      </c>
      <c r="D30" s="64"/>
      <c r="E30" s="64"/>
      <c r="F30" s="64">
        <v>11</v>
      </c>
      <c r="G30" s="64">
        <v>1</v>
      </c>
      <c r="H30" s="72">
        <v>608.20597034643799</v>
      </c>
      <c r="I30" s="65">
        <v>423402.21404818579</v>
      </c>
      <c r="J30" s="72">
        <v>145.64264373443959</v>
      </c>
      <c r="K30" s="65">
        <v>121368.86977869965</v>
      </c>
      <c r="L30" s="65">
        <v>89095.095822959731</v>
      </c>
      <c r="M30" s="65">
        <v>-5124.9730987114553</v>
      </c>
      <c r="N30" s="65">
        <v>386003.46699373442</v>
      </c>
      <c r="O30" s="65">
        <v>-40000</v>
      </c>
      <c r="P30" s="65">
        <v>-24583.333333333336</v>
      </c>
      <c r="Q30" s="65">
        <v>321420.1336604011</v>
      </c>
      <c r="R30" s="65">
        <v>-312500</v>
      </c>
      <c r="S30" s="65">
        <v>8920.1336604010503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</row>
    <row r="31" spans="3:38" ht="14.65">
      <c r="C31" s="1" t="s">
        <v>199</v>
      </c>
      <c r="D31" s="1" t="s">
        <v>90</v>
      </c>
      <c r="F31" s="1">
        <v>2</v>
      </c>
      <c r="G31" s="1">
        <v>1</v>
      </c>
      <c r="H31" s="18">
        <v>150.61194849177747</v>
      </c>
      <c r="I31" s="44">
        <v>42006.868585495868</v>
      </c>
      <c r="J31" s="18">
        <v>36.044712053293182</v>
      </c>
      <c r="K31" s="44">
        <v>30037.260044410978</v>
      </c>
      <c r="L31" s="44">
        <v>18033.534039969883</v>
      </c>
      <c r="M31" s="44">
        <v>-300.20201312732877</v>
      </c>
      <c r="N31" s="44">
        <v>29702.94056792745</v>
      </c>
      <c r="O31" s="44">
        <v>-10000</v>
      </c>
      <c r="P31" s="44">
        <v>-6145.8333333333339</v>
      </c>
      <c r="Q31" s="44">
        <v>13557.107234594114</v>
      </c>
      <c r="R31" s="44">
        <v>-78125</v>
      </c>
      <c r="S31" s="44">
        <v>-64567.892765405893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</row>
    <row r="32" spans="3:38" ht="14.65" hidden="1" outlineLevel="1">
      <c r="D32" s="1" t="s">
        <v>92</v>
      </c>
      <c r="F32" s="1">
        <v>3</v>
      </c>
      <c r="G32" s="1">
        <v>0</v>
      </c>
      <c r="H32" s="18">
        <v>152.46029363148295</v>
      </c>
      <c r="I32" s="44">
        <v>127050.24469290246</v>
      </c>
      <c r="J32" s="18">
        <v>36.179125990287858</v>
      </c>
      <c r="K32" s="44">
        <v>30149.271658573216</v>
      </c>
      <c r="L32" s="44">
        <v>27134.344492715893</v>
      </c>
      <c r="M32" s="44">
        <v>-770.92294592809185</v>
      </c>
      <c r="N32" s="44">
        <v>123264.39458111704</v>
      </c>
      <c r="O32" s="44">
        <v>-10000</v>
      </c>
      <c r="P32" s="44">
        <v>-6145.8333333333339</v>
      </c>
      <c r="Q32" s="44">
        <v>107118.56124778371</v>
      </c>
      <c r="R32" s="44">
        <v>-78125</v>
      </c>
      <c r="S32" s="44">
        <v>28993.561247783702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</row>
    <row r="33" spans="3:40" ht="14.65" hidden="1" outlineLevel="1">
      <c r="D33" s="1" t="s">
        <v>93</v>
      </c>
      <c r="F33" s="1">
        <v>3</v>
      </c>
      <c r="G33" s="1">
        <v>0</v>
      </c>
      <c r="H33" s="18">
        <v>154.33132209604867</v>
      </c>
      <c r="I33" s="44">
        <v>128609.43508004057</v>
      </c>
      <c r="J33" s="18">
        <v>36.314041168808117</v>
      </c>
      <c r="K33" s="44">
        <v>30261.700974006759</v>
      </c>
      <c r="L33" s="44">
        <v>27235.530876606084</v>
      </c>
      <c r="M33" s="44">
        <v>-779.2248297832333</v>
      </c>
      <c r="N33" s="44">
        <v>124804.04015285666</v>
      </c>
      <c r="O33" s="44">
        <v>-10000</v>
      </c>
      <c r="P33" s="44">
        <v>-6145.8333333333339</v>
      </c>
      <c r="Q33" s="44">
        <v>108658.2068195233</v>
      </c>
      <c r="R33" s="44">
        <v>-78125</v>
      </c>
      <c r="S33" s="44">
        <v>30533.206819523311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</row>
    <row r="34" spans="3:40" hidden="1" outlineLevel="1">
      <c r="D34" s="1" t="s">
        <v>94</v>
      </c>
      <c r="F34" s="1">
        <v>3</v>
      </c>
      <c r="G34" s="1">
        <v>0</v>
      </c>
      <c r="H34" s="18">
        <v>156.22531226055497</v>
      </c>
      <c r="I34" s="44">
        <v>130187.76021712914</v>
      </c>
      <c r="J34" s="18">
        <v>36.449459458028166</v>
      </c>
      <c r="K34" s="44">
        <v>30374.549548356808</v>
      </c>
      <c r="L34" s="44">
        <v>27337.094593521128</v>
      </c>
      <c r="M34" s="44">
        <v>-787.62427405325138</v>
      </c>
      <c r="N34" s="44">
        <v>126362.6809882402</v>
      </c>
      <c r="O34" s="44">
        <v>-10000</v>
      </c>
      <c r="P34" s="44">
        <v>-6145.8333333333339</v>
      </c>
      <c r="Q34" s="44">
        <v>110216.84765490687</v>
      </c>
      <c r="R34" s="44">
        <v>-78125</v>
      </c>
      <c r="S34" s="44">
        <v>32091.847654906869</v>
      </c>
    </row>
    <row r="35" spans="3:40" collapsed="1">
      <c r="C35" s="64" t="s">
        <v>221</v>
      </c>
      <c r="D35" s="64"/>
      <c r="E35" s="64"/>
      <c r="F35" s="64">
        <v>11</v>
      </c>
      <c r="G35" s="64">
        <v>1</v>
      </c>
      <c r="H35" s="72">
        <v>613.62887647986406</v>
      </c>
      <c r="I35" s="65">
        <v>427854.30857556802</v>
      </c>
      <c r="J35" s="72">
        <v>144.98733867041733</v>
      </c>
      <c r="K35" s="65">
        <v>120822.78222534776</v>
      </c>
      <c r="L35" s="65">
        <v>99740.504002812988</v>
      </c>
      <c r="M35" s="65">
        <v>-2637.9740628919053</v>
      </c>
      <c r="N35" s="65">
        <v>404134.05629014131</v>
      </c>
      <c r="O35" s="65">
        <v>-40000</v>
      </c>
      <c r="P35" s="65">
        <v>-24583.333333333336</v>
      </c>
      <c r="Q35" s="65">
        <v>339550.72295680799</v>
      </c>
      <c r="R35" s="65">
        <v>-312500</v>
      </c>
      <c r="S35" s="65">
        <v>27050.722956807986</v>
      </c>
    </row>
    <row r="36" spans="3:40">
      <c r="C36" s="1" t="s">
        <v>200</v>
      </c>
      <c r="D36" s="1" t="s">
        <v>90</v>
      </c>
      <c r="F36" s="1">
        <v>1</v>
      </c>
      <c r="G36" s="1">
        <v>1</v>
      </c>
      <c r="H36" s="18">
        <v>150</v>
      </c>
      <c r="I36" s="44">
        <v>0</v>
      </c>
      <c r="J36" s="18">
        <v>36.103451258600217</v>
      </c>
      <c r="K36" s="44">
        <v>30086.209382166853</v>
      </c>
      <c r="L36" s="44">
        <v>7040.2502764832589</v>
      </c>
      <c r="M36" s="44">
        <v>-140.80500552966518</v>
      </c>
      <c r="N36" s="44">
        <v>-23186.764111213259</v>
      </c>
      <c r="O36" s="44">
        <v>-10000</v>
      </c>
      <c r="P36" s="44">
        <v>-6145.8333333333339</v>
      </c>
      <c r="Q36" s="44">
        <v>-39332.597444546591</v>
      </c>
      <c r="R36" s="44">
        <v>-84375</v>
      </c>
      <c r="S36" s="44">
        <v>-123707.59744454658</v>
      </c>
    </row>
    <row r="37" spans="3:40" hidden="1" outlineLevel="1">
      <c r="D37" s="1" t="s">
        <v>92</v>
      </c>
      <c r="F37" s="1">
        <v>3</v>
      </c>
      <c r="G37" s="1">
        <v>0</v>
      </c>
      <c r="H37" s="18">
        <v>150</v>
      </c>
      <c r="I37" s="44">
        <v>125000.00000000001</v>
      </c>
      <c r="J37" s="18">
        <v>36.415292869177456</v>
      </c>
      <c r="K37" s="44">
        <v>30346.077390981212</v>
      </c>
      <c r="L37" s="44">
        <v>21242.254173686848</v>
      </c>
      <c r="M37" s="44">
        <v>-2924.8450834737373</v>
      </c>
      <c r="N37" s="44">
        <v>112971.33169923192</v>
      </c>
      <c r="O37" s="44">
        <v>-10000</v>
      </c>
      <c r="P37" s="44">
        <v>-6145.8333333333339</v>
      </c>
      <c r="Q37" s="44">
        <v>96825.498365898573</v>
      </c>
      <c r="R37" s="44">
        <v>-84375</v>
      </c>
      <c r="S37" s="44">
        <v>12450.498365898573</v>
      </c>
    </row>
    <row r="38" spans="3:40" hidden="1" outlineLevel="1">
      <c r="D38" s="1" t="s">
        <v>93</v>
      </c>
      <c r="F38" s="1">
        <v>3</v>
      </c>
      <c r="G38" s="1">
        <v>0</v>
      </c>
      <c r="H38" s="18">
        <v>150</v>
      </c>
      <c r="I38" s="44">
        <v>125000.00000000001</v>
      </c>
      <c r="J38" s="18">
        <v>36.729827994825897</v>
      </c>
      <c r="K38" s="44">
        <v>30608.189995688248</v>
      </c>
      <c r="L38" s="44">
        <v>21425.732996981773</v>
      </c>
      <c r="M38" s="44">
        <v>-2928.5146599396357</v>
      </c>
      <c r="N38" s="44">
        <v>112889.0283413539</v>
      </c>
      <c r="O38" s="44">
        <v>-10000</v>
      </c>
      <c r="P38" s="44">
        <v>-6145.8333333333339</v>
      </c>
      <c r="Q38" s="44">
        <v>96743.195008020572</v>
      </c>
      <c r="R38" s="44">
        <v>-84375</v>
      </c>
      <c r="S38" s="44">
        <v>12368.195008020572</v>
      </c>
    </row>
    <row r="39" spans="3:40" hidden="1" outlineLevel="1">
      <c r="D39" s="1" t="s">
        <v>94</v>
      </c>
      <c r="F39" s="1">
        <v>3</v>
      </c>
      <c r="G39" s="1">
        <v>0</v>
      </c>
      <c r="H39" s="18">
        <v>150</v>
      </c>
      <c r="I39" s="44">
        <v>125000.00000000001</v>
      </c>
      <c r="J39" s="18">
        <v>37.047079900636504</v>
      </c>
      <c r="K39" s="44">
        <v>30872.566583863751</v>
      </c>
      <c r="L39" s="44">
        <v>21610.796608704626</v>
      </c>
      <c r="M39" s="44">
        <v>-2932.2159321740928</v>
      </c>
      <c r="N39" s="44">
        <v>112806.0140926668</v>
      </c>
      <c r="O39" s="44">
        <v>-10000</v>
      </c>
      <c r="P39" s="44">
        <v>-6145.8333333333339</v>
      </c>
      <c r="Q39" s="44">
        <v>96660.180759333452</v>
      </c>
      <c r="R39" s="44">
        <v>-84375</v>
      </c>
      <c r="S39" s="44">
        <v>12285.18075933346</v>
      </c>
    </row>
    <row r="40" spans="3:40" collapsed="1">
      <c r="C40" s="64" t="s">
        <v>222</v>
      </c>
      <c r="D40" s="64"/>
      <c r="E40" s="64"/>
      <c r="F40" s="64">
        <v>10</v>
      </c>
      <c r="G40" s="64">
        <v>1</v>
      </c>
      <c r="H40" s="72">
        <v>600</v>
      </c>
      <c r="I40" s="65">
        <v>375000.00000000006</v>
      </c>
      <c r="J40" s="72">
        <v>146.29565202324005</v>
      </c>
      <c r="K40" s="65">
        <v>121913.04335270007</v>
      </c>
      <c r="L40" s="65">
        <v>71319.034055856508</v>
      </c>
      <c r="M40" s="65">
        <v>-8926.3806811171307</v>
      </c>
      <c r="N40" s="65">
        <v>315479.61002203939</v>
      </c>
      <c r="O40" s="65">
        <v>-40000</v>
      </c>
      <c r="P40" s="65">
        <v>-24583.333333333336</v>
      </c>
      <c r="Q40" s="65">
        <v>250896.27668870601</v>
      </c>
      <c r="R40" s="65">
        <v>-337500</v>
      </c>
      <c r="S40" s="65">
        <v>-86603.723311293987</v>
      </c>
    </row>
    <row r="41" spans="3:40" ht="14.65"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U41"/>
      <c r="V41"/>
      <c r="W41"/>
      <c r="X41"/>
      <c r="Y41"/>
      <c r="Z41"/>
      <c r="AA41"/>
      <c r="AB41"/>
      <c r="AC41"/>
      <c r="AD41"/>
    </row>
    <row r="42" spans="3:40" ht="14.65" hidden="1">
      <c r="U42"/>
      <c r="V42"/>
      <c r="W42"/>
      <c r="X42"/>
      <c r="Y42"/>
      <c r="Z42"/>
      <c r="AA42"/>
      <c r="AB42"/>
      <c r="AC42"/>
      <c r="AD42"/>
    </row>
    <row r="43" spans="3:40" ht="14.65">
      <c r="U43"/>
      <c r="V43"/>
      <c r="W43"/>
      <c r="X43"/>
      <c r="Y43"/>
      <c r="Z43"/>
      <c r="AA43"/>
      <c r="AB43"/>
      <c r="AC43"/>
      <c r="AD43"/>
    </row>
    <row r="44" spans="3:40" s="6" customFormat="1" ht="28.5">
      <c r="C44" s="42"/>
      <c r="D44" s="42"/>
      <c r="E44" s="42"/>
      <c r="F44" s="6" t="s">
        <v>201</v>
      </c>
      <c r="G44" s="6" t="s">
        <v>202</v>
      </c>
      <c r="H44" s="6" t="s">
        <v>203</v>
      </c>
      <c r="I44" s="6" t="s">
        <v>204</v>
      </c>
      <c r="J44" s="6" t="s">
        <v>205</v>
      </c>
      <c r="K44" s="6" t="s">
        <v>206</v>
      </c>
      <c r="L44" s="6" t="s">
        <v>207</v>
      </c>
      <c r="M44" s="6" t="s">
        <v>208</v>
      </c>
      <c r="N44" s="6" t="s">
        <v>209</v>
      </c>
      <c r="O44" s="6" t="s">
        <v>210</v>
      </c>
      <c r="P44" s="6" t="s">
        <v>211</v>
      </c>
      <c r="Q44" s="6" t="s">
        <v>212</v>
      </c>
      <c r="R44" s="6" t="s">
        <v>213</v>
      </c>
      <c r="S44" s="6" t="s">
        <v>214</v>
      </c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M44" s="74"/>
      <c r="AN44" s="74"/>
    </row>
    <row r="45" spans="3:40" ht="14.65">
      <c r="C45" s="1" t="s">
        <v>114</v>
      </c>
      <c r="D45" s="1">
        <v>1</v>
      </c>
      <c r="E45" s="55">
        <v>45658</v>
      </c>
      <c r="F45" s="1">
        <v>0</v>
      </c>
      <c r="G45" s="1">
        <v>0</v>
      </c>
      <c r="H45" s="18">
        <v>50</v>
      </c>
      <c r="I45" s="44">
        <v>0</v>
      </c>
      <c r="J45" s="18">
        <v>12</v>
      </c>
      <c r="K45" s="44">
        <v>10000</v>
      </c>
      <c r="L45" s="44">
        <v>0</v>
      </c>
      <c r="M45" s="44">
        <v>0</v>
      </c>
      <c r="N45" s="44">
        <v>-10000</v>
      </c>
      <c r="O45" s="44">
        <v>-3333.3333333333335</v>
      </c>
      <c r="P45" s="44">
        <v>-2048.6111111111113</v>
      </c>
      <c r="Q45" s="44">
        <v>-15381.944444444445</v>
      </c>
      <c r="R45" s="44">
        <v>-26041.666666666668</v>
      </c>
      <c r="S45" s="44">
        <v>-41423.611111111109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M45"/>
      <c r="AN45"/>
    </row>
    <row r="46" spans="3:40" ht="14.65">
      <c r="D46" s="1">
        <v>2</v>
      </c>
      <c r="E46" s="55">
        <v>45689</v>
      </c>
      <c r="F46" s="1">
        <v>1</v>
      </c>
      <c r="G46" s="1">
        <v>1</v>
      </c>
      <c r="H46" s="18">
        <v>50.123313488615182</v>
      </c>
      <c r="I46" s="44">
        <v>0</v>
      </c>
      <c r="J46" s="18">
        <v>12.024718035238113</v>
      </c>
      <c r="K46" s="44">
        <v>10020.598362698427</v>
      </c>
      <c r="L46" s="44">
        <v>8016.4786901587422</v>
      </c>
      <c r="M46" s="44">
        <v>-80.164786901587419</v>
      </c>
      <c r="N46" s="44">
        <v>-2084.2844594412727</v>
      </c>
      <c r="O46" s="44">
        <v>-3333.3333333333335</v>
      </c>
      <c r="P46" s="44">
        <v>-2048.6111111111113</v>
      </c>
      <c r="Q46" s="44">
        <v>-7466.228903885718</v>
      </c>
      <c r="R46" s="44">
        <v>-26041.666666666668</v>
      </c>
      <c r="S46" s="44">
        <v>-33507.895570552384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M46"/>
      <c r="AN46"/>
    </row>
    <row r="47" spans="3:40" ht="14.65">
      <c r="D47" s="1">
        <v>3</v>
      </c>
      <c r="E47" s="55">
        <v>45717</v>
      </c>
      <c r="F47" s="1">
        <v>1</v>
      </c>
      <c r="G47" s="1">
        <v>0</v>
      </c>
      <c r="H47" s="18">
        <v>50.246931101559845</v>
      </c>
      <c r="I47" s="44">
        <v>41872.442584633209</v>
      </c>
      <c r="J47" s="18">
        <v>12.04948698558173</v>
      </c>
      <c r="K47" s="44">
        <v>10041.239154651443</v>
      </c>
      <c r="L47" s="44">
        <v>8032.9913237211549</v>
      </c>
      <c r="M47" s="44">
        <v>-499.0543390835436</v>
      </c>
      <c r="N47" s="44">
        <v>39365.140414619374</v>
      </c>
      <c r="O47" s="44">
        <v>-3333.3333333333335</v>
      </c>
      <c r="P47" s="44">
        <v>-2048.6111111111113</v>
      </c>
      <c r="Q47" s="44">
        <v>33983.195970174929</v>
      </c>
      <c r="R47" s="44">
        <v>-26041.666666666668</v>
      </c>
      <c r="S47" s="44">
        <v>7941.5293035082614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M47"/>
      <c r="AN47"/>
    </row>
    <row r="48" spans="3:40" ht="14.65">
      <c r="D48" s="1">
        <v>4</v>
      </c>
      <c r="E48" s="55">
        <v>45748</v>
      </c>
      <c r="F48" s="1">
        <v>1</v>
      </c>
      <c r="G48" s="1">
        <v>0</v>
      </c>
      <c r="H48" s="18">
        <v>50.370853588886646</v>
      </c>
      <c r="I48" s="44">
        <v>41975.711324072203</v>
      </c>
      <c r="J48" s="18">
        <v>12.074306955907634</v>
      </c>
      <c r="K48" s="44">
        <v>10061.92246325636</v>
      </c>
      <c r="L48" s="44">
        <v>8049.537970605088</v>
      </c>
      <c r="M48" s="44">
        <v>-500.25249294677292</v>
      </c>
      <c r="N48" s="44">
        <v>39463.074338474151</v>
      </c>
      <c r="O48" s="44">
        <v>-3333.3333333333335</v>
      </c>
      <c r="P48" s="44">
        <v>-2048.6111111111113</v>
      </c>
      <c r="Q48" s="44">
        <v>34081.129894029706</v>
      </c>
      <c r="R48" s="44">
        <v>-26041.666666666668</v>
      </c>
      <c r="S48" s="44">
        <v>8039.4632273630377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M48"/>
      <c r="AN48"/>
    </row>
    <row r="49" spans="3:40" ht="14.65">
      <c r="D49" s="1">
        <v>5</v>
      </c>
      <c r="E49" s="55">
        <v>45778</v>
      </c>
      <c r="F49" s="1">
        <v>1</v>
      </c>
      <c r="G49" s="1">
        <v>0</v>
      </c>
      <c r="H49" s="18">
        <v>50.495081702498048</v>
      </c>
      <c r="I49" s="44">
        <v>42079.234752081706</v>
      </c>
      <c r="J49" s="18">
        <v>12.099178051308627</v>
      </c>
      <c r="K49" s="44">
        <v>10082.648376090521</v>
      </c>
      <c r="L49" s="44">
        <v>8066.1187008724173</v>
      </c>
      <c r="M49" s="44">
        <v>-501.45353452954123</v>
      </c>
      <c r="N49" s="44">
        <v>39561.251542334052</v>
      </c>
      <c r="O49" s="44">
        <v>-3333.3333333333335</v>
      </c>
      <c r="P49" s="44">
        <v>-2048.6111111111113</v>
      </c>
      <c r="Q49" s="44">
        <v>34179.307097889607</v>
      </c>
      <c r="R49" s="44">
        <v>-26041.666666666668</v>
      </c>
      <c r="S49" s="44">
        <v>8137.6404312229388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M49"/>
      <c r="AN49"/>
    </row>
    <row r="50" spans="3:40" ht="14.65">
      <c r="D50" s="1">
        <v>6</v>
      </c>
      <c r="E50" s="55">
        <v>45809</v>
      </c>
      <c r="F50" s="1">
        <v>1</v>
      </c>
      <c r="G50" s="1">
        <v>0</v>
      </c>
      <c r="H50" s="18">
        <v>50.619616196150915</v>
      </c>
      <c r="I50" s="44">
        <v>42183.013496792431</v>
      </c>
      <c r="J50" s="18">
        <v>12.124100377093999</v>
      </c>
      <c r="K50" s="44">
        <v>10103.416980911667</v>
      </c>
      <c r="L50" s="44">
        <v>8082.7335847293334</v>
      </c>
      <c r="M50" s="44">
        <v>-502.65747081521766</v>
      </c>
      <c r="N50" s="44">
        <v>39659.672629794884</v>
      </c>
      <c r="O50" s="44">
        <v>-3333.3333333333335</v>
      </c>
      <c r="P50" s="44">
        <v>-2048.6111111111113</v>
      </c>
      <c r="Q50" s="44">
        <v>34277.728185350439</v>
      </c>
      <c r="R50" s="44">
        <v>-26041.666666666668</v>
      </c>
      <c r="S50" s="44">
        <v>8236.0615186837713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M50"/>
      <c r="AN50"/>
    </row>
    <row r="51" spans="3:40" ht="14.65">
      <c r="D51" s="1">
        <v>7</v>
      </c>
      <c r="E51" s="55">
        <v>45839</v>
      </c>
      <c r="F51" s="1">
        <v>1</v>
      </c>
      <c r="G51" s="1">
        <v>0</v>
      </c>
      <c r="H51" s="18">
        <v>50.744457825461097</v>
      </c>
      <c r="I51" s="44">
        <v>42287.048187884247</v>
      </c>
      <c r="J51" s="18">
        <v>12.149074038789951</v>
      </c>
      <c r="K51" s="44">
        <v>10124.228365658291</v>
      </c>
      <c r="L51" s="44">
        <v>8099.382692526633</v>
      </c>
      <c r="M51" s="44">
        <v>-503.86430880410882</v>
      </c>
      <c r="N51" s="44">
        <v>39758.338205948487</v>
      </c>
      <c r="O51" s="44">
        <v>-3333.3333333333335</v>
      </c>
      <c r="P51" s="44">
        <v>-2048.6111111111113</v>
      </c>
      <c r="Q51" s="44">
        <v>34376.393761504041</v>
      </c>
      <c r="R51" s="44">
        <v>-26041.666666666668</v>
      </c>
      <c r="S51" s="44">
        <v>8334.7270948373734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M51"/>
      <c r="AN51"/>
    </row>
    <row r="52" spans="3:40" ht="14.65">
      <c r="D52" s="1">
        <v>8</v>
      </c>
      <c r="E52" s="55">
        <v>45870</v>
      </c>
      <c r="F52" s="1">
        <v>1</v>
      </c>
      <c r="G52" s="1">
        <v>0</v>
      </c>
      <c r="H52" s="18">
        <v>50.869607347907966</v>
      </c>
      <c r="I52" s="44">
        <v>42391.339456589973</v>
      </c>
      <c r="J52" s="18">
        <v>12.174099142140058</v>
      </c>
      <c r="K52" s="44">
        <v>10145.082618450047</v>
      </c>
      <c r="L52" s="44">
        <v>8116.0660947600381</v>
      </c>
      <c r="M52" s="44">
        <v>-505.07405551350013</v>
      </c>
      <c r="N52" s="44">
        <v>39857.248877386468</v>
      </c>
      <c r="O52" s="44">
        <v>-3333.3333333333335</v>
      </c>
      <c r="P52" s="44">
        <v>-2048.6111111111113</v>
      </c>
      <c r="Q52" s="44">
        <v>34475.304432942023</v>
      </c>
      <c r="R52" s="44">
        <v>-26041.666666666668</v>
      </c>
      <c r="S52" s="44">
        <v>8433.6377662753548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M52"/>
      <c r="AN52"/>
    </row>
    <row r="53" spans="3:40" ht="14.65">
      <c r="D53" s="1">
        <v>9</v>
      </c>
      <c r="E53" s="55">
        <v>45901</v>
      </c>
      <c r="F53" s="1">
        <v>1</v>
      </c>
      <c r="G53" s="1">
        <v>0</v>
      </c>
      <c r="H53" s="18">
        <v>50.99506552283907</v>
      </c>
      <c r="I53" s="44">
        <v>42495.887935699226</v>
      </c>
      <c r="J53" s="18">
        <v>12.199175793105699</v>
      </c>
      <c r="K53" s="44">
        <v>10165.979827588084</v>
      </c>
      <c r="L53" s="44">
        <v>8132.7838620704679</v>
      </c>
      <c r="M53" s="44">
        <v>-506.28671797769698</v>
      </c>
      <c r="N53" s="44">
        <v>39956.40525220392</v>
      </c>
      <c r="O53" s="44">
        <v>-3333.3333333333335</v>
      </c>
      <c r="P53" s="44">
        <v>-2048.6111111111113</v>
      </c>
      <c r="Q53" s="44">
        <v>34574.460807759475</v>
      </c>
      <c r="R53" s="44">
        <v>-26041.666666666668</v>
      </c>
      <c r="S53" s="44">
        <v>8532.794141092807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M53"/>
      <c r="AN53"/>
    </row>
    <row r="54" spans="3:40" ht="14.65">
      <c r="D54" s="1">
        <v>10</v>
      </c>
      <c r="E54" s="55">
        <v>45931</v>
      </c>
      <c r="F54" s="1">
        <v>1</v>
      </c>
      <c r="G54" s="1">
        <v>0</v>
      </c>
      <c r="H54" s="18">
        <v>51.120833111474681</v>
      </c>
      <c r="I54" s="44">
        <v>42600.694259562239</v>
      </c>
      <c r="J54" s="18">
        <v>12.224304097866527</v>
      </c>
      <c r="K54" s="44">
        <v>10186.92008155544</v>
      </c>
      <c r="L54" s="44">
        <v>8149.5360652443524</v>
      </c>
      <c r="M54" s="44">
        <v>-507.50230324806586</v>
      </c>
      <c r="N54" s="44">
        <v>40055.807940003084</v>
      </c>
      <c r="O54" s="44">
        <v>-3333.3333333333335</v>
      </c>
      <c r="P54" s="44">
        <v>-2048.6111111111113</v>
      </c>
      <c r="Q54" s="44">
        <v>34673.863495558639</v>
      </c>
      <c r="R54" s="44">
        <v>-26041.666666666668</v>
      </c>
      <c r="S54" s="44">
        <v>8632.1968288919707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M54"/>
      <c r="AN54"/>
    </row>
    <row r="55" spans="3:40" ht="14.65">
      <c r="D55" s="1">
        <v>11</v>
      </c>
      <c r="E55" s="55">
        <v>45962</v>
      </c>
      <c r="F55" s="1">
        <v>1</v>
      </c>
      <c r="G55" s="1">
        <v>0</v>
      </c>
      <c r="H55" s="18">
        <v>51.246910876912487</v>
      </c>
      <c r="I55" s="44">
        <v>42705.759064093741</v>
      </c>
      <c r="J55" s="18">
        <v>12.249484162820902</v>
      </c>
      <c r="K55" s="44">
        <v>10207.903469017419</v>
      </c>
      <c r="L55" s="44">
        <v>8166.3227752139355</v>
      </c>
      <c r="M55" s="44">
        <v>-508.7208183930768</v>
      </c>
      <c r="N55" s="44">
        <v>40155.457551897183</v>
      </c>
      <c r="O55" s="44">
        <v>-3333.3333333333335</v>
      </c>
      <c r="P55" s="44">
        <v>-2048.6111111111113</v>
      </c>
      <c r="Q55" s="44">
        <v>34773.513107452738</v>
      </c>
      <c r="R55" s="44">
        <v>-26041.666666666668</v>
      </c>
      <c r="S55" s="44">
        <v>8731.8464407860702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M55"/>
      <c r="AN55"/>
    </row>
    <row r="56" spans="3:40" ht="14.65">
      <c r="D56" s="1">
        <v>12</v>
      </c>
      <c r="E56" s="55">
        <v>45992</v>
      </c>
      <c r="F56" s="1">
        <v>1</v>
      </c>
      <c r="G56" s="1">
        <v>0</v>
      </c>
      <c r="H56" s="18">
        <v>51.373299584132162</v>
      </c>
      <c r="I56" s="44">
        <v>42811.082986776804</v>
      </c>
      <c r="J56" s="18">
        <v>12.274716094586347</v>
      </c>
      <c r="K56" s="44">
        <v>10228.930078821955</v>
      </c>
      <c r="L56" s="44">
        <v>8183.1440630575644</v>
      </c>
      <c r="M56" s="44">
        <v>-509.9422704983437</v>
      </c>
      <c r="N56" s="44">
        <v>40255.354700514072</v>
      </c>
      <c r="O56" s="44">
        <v>-3333.3333333333335</v>
      </c>
      <c r="P56" s="44">
        <v>-2048.6111111111113</v>
      </c>
      <c r="Q56" s="44">
        <v>34873.410256069626</v>
      </c>
      <c r="R56" s="44">
        <v>-26041.666666666668</v>
      </c>
      <c r="S56" s="44">
        <v>8831.7435894029586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M56"/>
      <c r="AN56"/>
    </row>
    <row r="57" spans="3:40" ht="14.65">
      <c r="C57" s="64" t="s">
        <v>220</v>
      </c>
      <c r="D57" s="64"/>
      <c r="E57" s="64"/>
      <c r="F57" s="64">
        <v>11</v>
      </c>
      <c r="G57" s="64">
        <v>1</v>
      </c>
      <c r="H57" s="72">
        <v>608.20597034643811</v>
      </c>
      <c r="I57" s="65">
        <v>423402.21404818585</v>
      </c>
      <c r="J57" s="72">
        <v>145.64264373443959</v>
      </c>
      <c r="K57" s="65">
        <v>121368.86977869966</v>
      </c>
      <c r="L57" s="65">
        <v>89095.095822959731</v>
      </c>
      <c r="M57" s="65">
        <v>-5124.9730987114553</v>
      </c>
      <c r="N57" s="65">
        <v>386003.4669937343</v>
      </c>
      <c r="O57" s="65">
        <v>-40000</v>
      </c>
      <c r="P57" s="65">
        <v>-24583.333333333328</v>
      </c>
      <c r="Q57" s="65">
        <v>321420.1336604011</v>
      </c>
      <c r="R57" s="65">
        <v>-312500</v>
      </c>
      <c r="S57" s="65">
        <v>8920.1336604010539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M57"/>
      <c r="AN57"/>
    </row>
    <row r="58" spans="3:40" ht="14.65">
      <c r="C58" s="1" t="s">
        <v>200</v>
      </c>
      <c r="D58" s="1">
        <v>1</v>
      </c>
      <c r="E58" s="55">
        <v>45658</v>
      </c>
      <c r="F58" s="1">
        <v>0</v>
      </c>
      <c r="G58" s="1">
        <v>0</v>
      </c>
      <c r="H58" s="18">
        <v>50</v>
      </c>
      <c r="I58" s="44">
        <v>0</v>
      </c>
      <c r="J58" s="18">
        <v>12</v>
      </c>
      <c r="K58" s="44">
        <v>10000</v>
      </c>
      <c r="L58" s="44">
        <v>0</v>
      </c>
      <c r="M58" s="44">
        <v>0</v>
      </c>
      <c r="N58" s="44">
        <v>-10000</v>
      </c>
      <c r="O58" s="44">
        <v>-3333.3333333333335</v>
      </c>
      <c r="P58" s="44">
        <v>-2048.6111111111113</v>
      </c>
      <c r="Q58" s="44">
        <v>-15381.944444444445</v>
      </c>
      <c r="R58" s="44">
        <v>-28125</v>
      </c>
      <c r="S58" s="44">
        <v>-43506.944444444445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M58"/>
      <c r="AN58"/>
    </row>
    <row r="59" spans="3:40" ht="14.65">
      <c r="D59" s="1">
        <v>2</v>
      </c>
      <c r="E59" s="55">
        <v>45689</v>
      </c>
      <c r="F59" s="1">
        <v>0</v>
      </c>
      <c r="G59" s="1">
        <v>0</v>
      </c>
      <c r="H59" s="18">
        <v>50</v>
      </c>
      <c r="I59" s="44">
        <v>0</v>
      </c>
      <c r="J59" s="18">
        <v>12.03445078462892</v>
      </c>
      <c r="K59" s="44">
        <v>10028.708987190766</v>
      </c>
      <c r="L59" s="44">
        <v>0</v>
      </c>
      <c r="M59" s="44">
        <v>0</v>
      </c>
      <c r="N59" s="44">
        <v>-10028.708987190766</v>
      </c>
      <c r="O59" s="44">
        <v>-3333.3333333333335</v>
      </c>
      <c r="P59" s="44">
        <v>-2048.6111111111113</v>
      </c>
      <c r="Q59" s="44">
        <v>-15410.653431635212</v>
      </c>
      <c r="R59" s="44">
        <v>-28125</v>
      </c>
      <c r="S59" s="44">
        <v>-43535.653431635212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M59"/>
      <c r="AN59"/>
    </row>
    <row r="60" spans="3:40" ht="14.65">
      <c r="D60" s="1">
        <v>3</v>
      </c>
      <c r="E60" s="55">
        <v>45717</v>
      </c>
      <c r="F60" s="1">
        <v>1</v>
      </c>
      <c r="G60" s="1">
        <v>1</v>
      </c>
      <c r="H60" s="18">
        <v>50</v>
      </c>
      <c r="I60" s="44">
        <v>0</v>
      </c>
      <c r="J60" s="18">
        <v>12.0690004739713</v>
      </c>
      <c r="K60" s="44">
        <v>10057.500394976085</v>
      </c>
      <c r="L60" s="44">
        <v>7040.2502764832589</v>
      </c>
      <c r="M60" s="44">
        <v>-140.80500552966518</v>
      </c>
      <c r="N60" s="44">
        <v>-3158.0551240224913</v>
      </c>
      <c r="O60" s="44">
        <v>-3333.3333333333335</v>
      </c>
      <c r="P60" s="44">
        <v>-2048.6111111111113</v>
      </c>
      <c r="Q60" s="44">
        <v>-8539.9995684669357</v>
      </c>
      <c r="R60" s="44">
        <v>-28125</v>
      </c>
      <c r="S60" s="44">
        <v>-36664.999568466934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M60"/>
      <c r="AN60"/>
    </row>
    <row r="61" spans="3:40" ht="14.65">
      <c r="D61" s="1">
        <v>4</v>
      </c>
      <c r="E61" s="55">
        <v>45748</v>
      </c>
      <c r="F61" s="1">
        <v>1</v>
      </c>
      <c r="G61" s="1">
        <v>0</v>
      </c>
      <c r="H61" s="18">
        <v>50</v>
      </c>
      <c r="I61" s="44">
        <v>41666.666666666672</v>
      </c>
      <c r="J61" s="18">
        <v>12.10364935197256</v>
      </c>
      <c r="K61" s="44">
        <v>10086.374459977134</v>
      </c>
      <c r="L61" s="44">
        <v>7060.4621219839937</v>
      </c>
      <c r="M61" s="44">
        <v>-974.54257577301325</v>
      </c>
      <c r="N61" s="44">
        <v>37666.211752900519</v>
      </c>
      <c r="O61" s="44">
        <v>-3333.3333333333335</v>
      </c>
      <c r="P61" s="44">
        <v>-2048.6111111111113</v>
      </c>
      <c r="Q61" s="44">
        <v>32284.267308456074</v>
      </c>
      <c r="R61" s="44">
        <v>-28125</v>
      </c>
      <c r="S61" s="44">
        <v>4159.2673084560738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M61"/>
      <c r="AN61"/>
    </row>
    <row r="62" spans="3:40" ht="14.65">
      <c r="D62" s="1">
        <v>5</v>
      </c>
      <c r="E62" s="55">
        <v>45778</v>
      </c>
      <c r="F62" s="1">
        <v>1</v>
      </c>
      <c r="G62" s="1">
        <v>0</v>
      </c>
      <c r="H62" s="18">
        <v>50</v>
      </c>
      <c r="I62" s="44">
        <v>41666.666666666672</v>
      </c>
      <c r="J62" s="18">
        <v>12.138397703393291</v>
      </c>
      <c r="K62" s="44">
        <v>10115.331419494409</v>
      </c>
      <c r="L62" s="44">
        <v>7080.7319936460854</v>
      </c>
      <c r="M62" s="44">
        <v>-974.94797320625514</v>
      </c>
      <c r="N62" s="44">
        <v>37657.119267612092</v>
      </c>
      <c r="O62" s="44">
        <v>-3333.3333333333335</v>
      </c>
      <c r="P62" s="44">
        <v>-2048.6111111111113</v>
      </c>
      <c r="Q62" s="44">
        <v>32275.174823167647</v>
      </c>
      <c r="R62" s="44">
        <v>-28125</v>
      </c>
      <c r="S62" s="44">
        <v>4150.1748231676465</v>
      </c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</row>
    <row r="63" spans="3:40" ht="14.65">
      <c r="D63" s="1">
        <v>6</v>
      </c>
      <c r="E63" s="55">
        <v>45809</v>
      </c>
      <c r="F63" s="1">
        <v>1</v>
      </c>
      <c r="G63" s="1">
        <v>0</v>
      </c>
      <c r="H63" s="18">
        <v>50</v>
      </c>
      <c r="I63" s="44">
        <v>41666.666666666672</v>
      </c>
      <c r="J63" s="18">
        <v>12.173245813811604</v>
      </c>
      <c r="K63" s="44">
        <v>10144.371511509671</v>
      </c>
      <c r="L63" s="44">
        <v>7101.0600580567698</v>
      </c>
      <c r="M63" s="44">
        <v>-975.35453449446879</v>
      </c>
      <c r="N63" s="44">
        <v>37648.000678719298</v>
      </c>
      <c r="O63" s="44">
        <v>-3333.3333333333335</v>
      </c>
      <c r="P63" s="44">
        <v>-2048.6111111111113</v>
      </c>
      <c r="Q63" s="44">
        <v>32266.056234274853</v>
      </c>
      <c r="R63" s="44">
        <v>-28125</v>
      </c>
      <c r="S63" s="44">
        <v>4141.0562342748526</v>
      </c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</row>
    <row r="64" spans="3:40" ht="14.65">
      <c r="D64" s="1">
        <v>7</v>
      </c>
      <c r="E64" s="55">
        <v>45839</v>
      </c>
      <c r="F64" s="1">
        <v>1</v>
      </c>
      <c r="G64" s="1">
        <v>0</v>
      </c>
      <c r="H64" s="18">
        <v>50</v>
      </c>
      <c r="I64" s="44">
        <v>41666.666666666672</v>
      </c>
      <c r="J64" s="18">
        <v>12.208193969625484</v>
      </c>
      <c r="K64" s="44">
        <v>10173.494974687903</v>
      </c>
      <c r="L64" s="44">
        <v>7121.4464822815316</v>
      </c>
      <c r="M64" s="44">
        <v>-975.76226297896415</v>
      </c>
      <c r="N64" s="44">
        <v>37638.855911281338</v>
      </c>
      <c r="O64" s="44">
        <v>-3333.3333333333335</v>
      </c>
      <c r="P64" s="44">
        <v>-2048.6111111111113</v>
      </c>
      <c r="Q64" s="44">
        <v>32256.911466836893</v>
      </c>
      <c r="R64" s="44">
        <v>-28125</v>
      </c>
      <c r="S64" s="44">
        <v>4131.9114668368929</v>
      </c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</row>
    <row r="65" spans="3:40" ht="14.65">
      <c r="D65" s="1">
        <v>8</v>
      </c>
      <c r="E65" s="55">
        <v>45870</v>
      </c>
      <c r="F65" s="1">
        <v>1</v>
      </c>
      <c r="G65" s="1">
        <v>0</v>
      </c>
      <c r="H65" s="18">
        <v>50</v>
      </c>
      <c r="I65" s="44">
        <v>41666.666666666672</v>
      </c>
      <c r="J65" s="18">
        <v>12.24324245805512</v>
      </c>
      <c r="K65" s="44">
        <v>10202.702048379266</v>
      </c>
      <c r="L65" s="44">
        <v>7141.8914338654859</v>
      </c>
      <c r="M65" s="44">
        <v>-976.17116201064323</v>
      </c>
      <c r="N65" s="44">
        <v>37629.684890142249</v>
      </c>
      <c r="O65" s="44">
        <v>-3333.3333333333335</v>
      </c>
      <c r="P65" s="44">
        <v>-2048.6111111111113</v>
      </c>
      <c r="Q65" s="44">
        <v>32247.740445697804</v>
      </c>
      <c r="R65" s="44">
        <v>-28125</v>
      </c>
      <c r="S65" s="44">
        <v>4122.7404456978038</v>
      </c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</row>
    <row r="66" spans="3:40" ht="14.65">
      <c r="D66" s="1">
        <v>9</v>
      </c>
      <c r="E66" s="55">
        <v>45901</v>
      </c>
      <c r="F66" s="1">
        <v>1</v>
      </c>
      <c r="G66" s="1">
        <v>0</v>
      </c>
      <c r="H66" s="18">
        <v>50</v>
      </c>
      <c r="I66" s="44">
        <v>41666.666666666672</v>
      </c>
      <c r="J66" s="18">
        <v>12.278391567145293</v>
      </c>
      <c r="K66" s="44">
        <v>10231.992972621078</v>
      </c>
      <c r="L66" s="44">
        <v>7162.3950808347536</v>
      </c>
      <c r="M66" s="44">
        <v>-976.58123495002849</v>
      </c>
      <c r="N66" s="44">
        <v>37620.48753993032</v>
      </c>
      <c r="O66" s="44">
        <v>-3333.3333333333335</v>
      </c>
      <c r="P66" s="44">
        <v>-2048.6111111111113</v>
      </c>
      <c r="Q66" s="44">
        <v>32238.543095485875</v>
      </c>
      <c r="R66" s="44">
        <v>-28125</v>
      </c>
      <c r="S66" s="44">
        <v>4113.5430954858748</v>
      </c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</row>
    <row r="67" spans="3:40" ht="14.65">
      <c r="D67" s="1">
        <v>10</v>
      </c>
      <c r="E67" s="55">
        <v>45931</v>
      </c>
      <c r="F67" s="1">
        <v>1</v>
      </c>
      <c r="G67" s="1">
        <v>0</v>
      </c>
      <c r="H67" s="18">
        <v>50</v>
      </c>
      <c r="I67" s="44">
        <v>41666.666666666672</v>
      </c>
      <c r="J67" s="18">
        <v>12.313641585767733</v>
      </c>
      <c r="K67" s="44">
        <v>10261.367988139778</v>
      </c>
      <c r="L67" s="44">
        <v>7182.9575916978447</v>
      </c>
      <c r="M67" s="44">
        <v>-976.99248516729028</v>
      </c>
      <c r="N67" s="44">
        <v>37611.263785057447</v>
      </c>
      <c r="O67" s="44">
        <v>-3333.3333333333335</v>
      </c>
      <c r="P67" s="44">
        <v>-2048.6111111111113</v>
      </c>
      <c r="Q67" s="44">
        <v>32229.319340613001</v>
      </c>
      <c r="R67" s="44">
        <v>-28125</v>
      </c>
      <c r="S67" s="44">
        <v>4104.3193406130013</v>
      </c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</row>
    <row r="68" spans="3:40" ht="14.65">
      <c r="D68" s="1">
        <v>11</v>
      </c>
      <c r="E68" s="55">
        <v>45962</v>
      </c>
      <c r="F68" s="1">
        <v>1</v>
      </c>
      <c r="G68" s="1">
        <v>0</v>
      </c>
      <c r="H68" s="18">
        <v>50</v>
      </c>
      <c r="I68" s="44">
        <v>41666.666666666672</v>
      </c>
      <c r="J68" s="18">
        <v>12.348992803623482</v>
      </c>
      <c r="K68" s="44">
        <v>10290.827336352901</v>
      </c>
      <c r="L68" s="44">
        <v>7203.5791354470302</v>
      </c>
      <c r="M68" s="44">
        <v>-977.40491604227395</v>
      </c>
      <c r="N68" s="44">
        <v>37602.013549718526</v>
      </c>
      <c r="O68" s="44">
        <v>-3333.3333333333335</v>
      </c>
      <c r="P68" s="44">
        <v>-2048.6111111111113</v>
      </c>
      <c r="Q68" s="44">
        <v>32220.06910527408</v>
      </c>
      <c r="R68" s="44">
        <v>-28125</v>
      </c>
      <c r="S68" s="44">
        <v>4095.0691052740804</v>
      </c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</row>
    <row r="69" spans="3:40" ht="14.65">
      <c r="D69" s="1">
        <v>12</v>
      </c>
      <c r="E69" s="55">
        <v>45992</v>
      </c>
      <c r="F69" s="1">
        <v>1</v>
      </c>
      <c r="G69" s="1">
        <v>0</v>
      </c>
      <c r="H69" s="18">
        <v>50</v>
      </c>
      <c r="I69" s="44">
        <v>41666.666666666672</v>
      </c>
      <c r="J69" s="18">
        <v>12.384445511245289</v>
      </c>
      <c r="K69" s="44">
        <v>10320.371259371075</v>
      </c>
      <c r="L69" s="44">
        <v>7224.2598815597521</v>
      </c>
      <c r="M69" s="44">
        <v>-977.81853096452846</v>
      </c>
      <c r="N69" s="44">
        <v>37592.736757890823</v>
      </c>
      <c r="O69" s="44">
        <v>-3333.3333333333335</v>
      </c>
      <c r="P69" s="44">
        <v>-2048.6111111111113</v>
      </c>
      <c r="Q69" s="44">
        <v>32210.792313446378</v>
      </c>
      <c r="R69" s="44">
        <v>-28125</v>
      </c>
      <c r="S69" s="44">
        <v>4085.7923134463781</v>
      </c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</row>
    <row r="70" spans="3:40" ht="14.65">
      <c r="C70" s="64" t="s">
        <v>222</v>
      </c>
      <c r="D70" s="64"/>
      <c r="E70" s="64"/>
      <c r="F70" s="64">
        <v>10</v>
      </c>
      <c r="G70" s="64">
        <v>1</v>
      </c>
      <c r="H70" s="72">
        <v>600</v>
      </c>
      <c r="I70" s="65">
        <v>375000.00000000012</v>
      </c>
      <c r="J70" s="72">
        <v>146.29565202324005</v>
      </c>
      <c r="K70" s="65">
        <v>121913.04335270009</v>
      </c>
      <c r="L70" s="65">
        <v>71319.034055856493</v>
      </c>
      <c r="M70" s="65">
        <v>-8926.3806811171307</v>
      </c>
      <c r="N70" s="65">
        <v>315479.61002203939</v>
      </c>
      <c r="O70" s="65">
        <v>-40000</v>
      </c>
      <c r="P70" s="65">
        <v>-24583.333333333328</v>
      </c>
      <c r="Q70" s="65">
        <v>250896.27668870598</v>
      </c>
      <c r="R70" s="65">
        <v>-337500</v>
      </c>
      <c r="S70" s="65">
        <v>-86603.723311293987</v>
      </c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</row>
    <row r="71" spans="3:40" ht="14.65">
      <c r="C71" s="1" t="s">
        <v>199</v>
      </c>
      <c r="D71" s="1">
        <v>1</v>
      </c>
      <c r="E71" s="55">
        <v>45658</v>
      </c>
      <c r="F71" s="1">
        <v>0</v>
      </c>
      <c r="G71" s="1">
        <v>0</v>
      </c>
      <c r="H71" s="18">
        <v>50</v>
      </c>
      <c r="I71" s="44">
        <v>0</v>
      </c>
      <c r="J71" s="18">
        <v>12</v>
      </c>
      <c r="K71" s="44">
        <v>10000</v>
      </c>
      <c r="L71" s="44">
        <v>0</v>
      </c>
      <c r="M71" s="44">
        <v>0</v>
      </c>
      <c r="N71" s="44">
        <v>-10000</v>
      </c>
      <c r="O71" s="44">
        <v>-3333.3333333333335</v>
      </c>
      <c r="P71" s="44">
        <v>-2048.6111111111113</v>
      </c>
      <c r="Q71" s="44">
        <v>-15381.944444444445</v>
      </c>
      <c r="R71" s="44">
        <v>-26041.666666666668</v>
      </c>
      <c r="S71" s="44">
        <v>-41423.611111111109</v>
      </c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</row>
    <row r="72" spans="3:40" ht="14.65">
      <c r="D72" s="1">
        <v>2</v>
      </c>
      <c r="E72" s="55">
        <v>45689</v>
      </c>
      <c r="F72" s="1">
        <v>1</v>
      </c>
      <c r="G72" s="1">
        <v>1</v>
      </c>
      <c r="H72" s="18">
        <v>50.203706189182419</v>
      </c>
      <c r="I72" s="44">
        <v>0</v>
      </c>
      <c r="J72" s="18">
        <v>12.014897852597391</v>
      </c>
      <c r="K72" s="44">
        <v>10012.414877164492</v>
      </c>
      <c r="L72" s="44">
        <v>9011.173389448044</v>
      </c>
      <c r="M72" s="44">
        <v>-45.055866947240219</v>
      </c>
      <c r="N72" s="44">
        <v>-1046.2973546636877</v>
      </c>
      <c r="O72" s="44">
        <v>-3333.3333333333335</v>
      </c>
      <c r="P72" s="44">
        <v>-2048.6111111111113</v>
      </c>
      <c r="Q72" s="44">
        <v>-6428.2417991081329</v>
      </c>
      <c r="R72" s="44">
        <v>-26041.666666666668</v>
      </c>
      <c r="S72" s="44">
        <v>-32469.908465774803</v>
      </c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</row>
    <row r="73" spans="3:40" ht="14.65">
      <c r="D73" s="1">
        <v>3</v>
      </c>
      <c r="E73" s="55">
        <v>45717</v>
      </c>
      <c r="F73" s="1">
        <v>1</v>
      </c>
      <c r="G73" s="1">
        <v>0</v>
      </c>
      <c r="H73" s="18">
        <v>50.408242302595049</v>
      </c>
      <c r="I73" s="44">
        <v>42006.868585495868</v>
      </c>
      <c r="J73" s="18">
        <v>12.029814200695785</v>
      </c>
      <c r="K73" s="44">
        <v>10024.845167246487</v>
      </c>
      <c r="L73" s="44">
        <v>9022.3606505218395</v>
      </c>
      <c r="M73" s="44">
        <v>-255.14614618008855</v>
      </c>
      <c r="N73" s="44">
        <v>40749.237922591135</v>
      </c>
      <c r="O73" s="44">
        <v>-3333.3333333333335</v>
      </c>
      <c r="P73" s="44">
        <v>-2048.6111111111113</v>
      </c>
      <c r="Q73" s="44">
        <v>35367.29347814669</v>
      </c>
      <c r="R73" s="44">
        <v>-26041.666666666668</v>
      </c>
      <c r="S73" s="44">
        <v>9325.6268114800223</v>
      </c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</row>
    <row r="74" spans="3:40" ht="14.65">
      <c r="D74" s="1">
        <v>4</v>
      </c>
      <c r="E74" s="55">
        <v>45748</v>
      </c>
      <c r="F74" s="1">
        <v>1</v>
      </c>
      <c r="G74" s="1">
        <v>0</v>
      </c>
      <c r="H74" s="18">
        <v>50.613611721451967</v>
      </c>
      <c r="I74" s="44">
        <v>42178.00976787664</v>
      </c>
      <c r="J74" s="18">
        <v>12.044749067257115</v>
      </c>
      <c r="K74" s="44">
        <v>10037.290889380929</v>
      </c>
      <c r="L74" s="44">
        <v>9033.5618004428361</v>
      </c>
      <c r="M74" s="44">
        <v>-256.05785784159735</v>
      </c>
      <c r="N74" s="44">
        <v>40918.222821096948</v>
      </c>
      <c r="O74" s="44">
        <v>-3333.3333333333335</v>
      </c>
      <c r="P74" s="44">
        <v>-2048.6111111111113</v>
      </c>
      <c r="Q74" s="44">
        <v>35536.278376652503</v>
      </c>
      <c r="R74" s="44">
        <v>-26041.666666666668</v>
      </c>
      <c r="S74" s="44">
        <v>9494.6117099858348</v>
      </c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</row>
    <row r="75" spans="3:40" ht="14.65">
      <c r="D75" s="1">
        <v>5</v>
      </c>
      <c r="E75" s="55">
        <v>45778</v>
      </c>
      <c r="F75" s="1">
        <v>1</v>
      </c>
      <c r="G75" s="1">
        <v>0</v>
      </c>
      <c r="H75" s="18">
        <v>50.819817840742672</v>
      </c>
      <c r="I75" s="44">
        <v>42349.848200618893</v>
      </c>
      <c r="J75" s="18">
        <v>12.05970247527183</v>
      </c>
      <c r="K75" s="44">
        <v>10049.752062726524</v>
      </c>
      <c r="L75" s="44">
        <v>9044.776856453871</v>
      </c>
      <c r="M75" s="44">
        <v>-256.97312528536384</v>
      </c>
      <c r="N75" s="44">
        <v>41087.899869060871</v>
      </c>
      <c r="O75" s="44">
        <v>-3333.3333333333335</v>
      </c>
      <c r="P75" s="44">
        <v>-2048.6111111111113</v>
      </c>
      <c r="Q75" s="44">
        <v>35705.955424616426</v>
      </c>
      <c r="R75" s="44">
        <v>-26041.666666666668</v>
      </c>
      <c r="S75" s="44">
        <v>9664.2887579497583</v>
      </c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</row>
    <row r="76" spans="3:40" ht="14.65">
      <c r="D76" s="1">
        <v>6</v>
      </c>
      <c r="E76" s="55">
        <v>45809</v>
      </c>
      <c r="F76" s="1">
        <v>1</v>
      </c>
      <c r="G76" s="1">
        <v>0</v>
      </c>
      <c r="H76" s="18">
        <v>51.026864069288315</v>
      </c>
      <c r="I76" s="44">
        <v>42522.386724406926</v>
      </c>
      <c r="J76" s="18">
        <v>12.074674447758913</v>
      </c>
      <c r="K76" s="44">
        <v>10062.228706465761</v>
      </c>
      <c r="L76" s="44">
        <v>9056.0058358191854</v>
      </c>
      <c r="M76" s="44">
        <v>-257.8919628011306</v>
      </c>
      <c r="N76" s="44">
        <v>41258.271890959222</v>
      </c>
      <c r="O76" s="44">
        <v>-3333.3333333333335</v>
      </c>
      <c r="P76" s="44">
        <v>-2048.6111111111113</v>
      </c>
      <c r="Q76" s="44">
        <v>35876.327446514777</v>
      </c>
      <c r="R76" s="44">
        <v>-26041.666666666668</v>
      </c>
      <c r="S76" s="44">
        <v>9834.6607798481091</v>
      </c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</row>
    <row r="77" spans="3:40" ht="14.65">
      <c r="D77" s="1">
        <v>7</v>
      </c>
      <c r="E77" s="55">
        <v>45839</v>
      </c>
      <c r="F77" s="1">
        <v>1</v>
      </c>
      <c r="G77" s="1">
        <v>0</v>
      </c>
      <c r="H77" s="18">
        <v>51.234753829797995</v>
      </c>
      <c r="I77" s="44">
        <v>42695.628191498326</v>
      </c>
      <c r="J77" s="18">
        <v>12.08966500776593</v>
      </c>
      <c r="K77" s="44">
        <v>10074.720839804942</v>
      </c>
      <c r="L77" s="44">
        <v>9067.2487558244484</v>
      </c>
      <c r="M77" s="44">
        <v>-258.81438473661387</v>
      </c>
      <c r="N77" s="44">
        <v>41429.341722781217</v>
      </c>
      <c r="O77" s="44">
        <v>-3333.3333333333335</v>
      </c>
      <c r="P77" s="44">
        <v>-2048.6111111111113</v>
      </c>
      <c r="Q77" s="44">
        <v>36047.397278336772</v>
      </c>
      <c r="R77" s="44">
        <v>-26041.666666666668</v>
      </c>
      <c r="S77" s="44">
        <v>10005.730611670104</v>
      </c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</row>
    <row r="78" spans="3:40" ht="14.65">
      <c r="D78" s="1">
        <v>8</v>
      </c>
      <c r="E78" s="55">
        <v>45870</v>
      </c>
      <c r="F78" s="1">
        <v>1</v>
      </c>
      <c r="G78" s="1">
        <v>0</v>
      </c>
      <c r="H78" s="18">
        <v>51.44349055892534</v>
      </c>
      <c r="I78" s="44">
        <v>42869.575465771115</v>
      </c>
      <c r="J78" s="18">
        <v>12.104674178369059</v>
      </c>
      <c r="K78" s="44">
        <v>10087.228481974214</v>
      </c>
      <c r="L78" s="44">
        <v>9078.5056337767928</v>
      </c>
      <c r="M78" s="44">
        <v>-259.74040549773957</v>
      </c>
      <c r="N78" s="44">
        <v>41601.112212075961</v>
      </c>
      <c r="O78" s="44">
        <v>-3333.3333333333335</v>
      </c>
      <c r="P78" s="44">
        <v>-2048.6111111111113</v>
      </c>
      <c r="Q78" s="44">
        <v>36219.167767631516</v>
      </c>
      <c r="R78" s="44">
        <v>-26041.666666666668</v>
      </c>
      <c r="S78" s="44">
        <v>10177.501100964848</v>
      </c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</row>
    <row r="79" spans="3:40" ht="14.65">
      <c r="D79" s="1">
        <v>9</v>
      </c>
      <c r="E79" s="55">
        <v>45901</v>
      </c>
      <c r="F79" s="1">
        <v>1</v>
      </c>
      <c r="G79" s="1">
        <v>0</v>
      </c>
      <c r="H79" s="18">
        <v>51.653077707325345</v>
      </c>
      <c r="I79" s="44">
        <v>43044.231422771118</v>
      </c>
      <c r="J79" s="18">
        <v>12.119701982673124</v>
      </c>
      <c r="K79" s="44">
        <v>10099.751652227604</v>
      </c>
      <c r="L79" s="44">
        <v>9089.7764870048431</v>
      </c>
      <c r="M79" s="44">
        <v>-260.6700395488798</v>
      </c>
      <c r="N79" s="44">
        <v>41773.586217999473</v>
      </c>
      <c r="O79" s="44">
        <v>-3333.3333333333335</v>
      </c>
      <c r="P79" s="44">
        <v>-2048.6111111111113</v>
      </c>
      <c r="Q79" s="44">
        <v>36391.641773555028</v>
      </c>
      <c r="R79" s="44">
        <v>-26041.666666666668</v>
      </c>
      <c r="S79" s="44">
        <v>10349.97510688836</v>
      </c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</row>
    <row r="80" spans="3:40" ht="14.65">
      <c r="D80" s="1">
        <v>10</v>
      </c>
      <c r="E80" s="55">
        <v>45931</v>
      </c>
      <c r="F80" s="1">
        <v>1</v>
      </c>
      <c r="G80" s="1">
        <v>0</v>
      </c>
      <c r="H80" s="18">
        <v>51.863518739711388</v>
      </c>
      <c r="I80" s="44">
        <v>43219.598949759493</v>
      </c>
      <c r="J80" s="18">
        <v>12.13474844381164</v>
      </c>
      <c r="K80" s="44">
        <v>10112.290369843033</v>
      </c>
      <c r="L80" s="44">
        <v>9101.0613328587297</v>
      </c>
      <c r="M80" s="44">
        <v>-261.60330141309112</v>
      </c>
      <c r="N80" s="44">
        <v>41946.766611362102</v>
      </c>
      <c r="O80" s="44">
        <v>-3333.3333333333335</v>
      </c>
      <c r="P80" s="44">
        <v>-2048.6111111111113</v>
      </c>
      <c r="Q80" s="44">
        <v>36564.822166917656</v>
      </c>
      <c r="R80" s="44">
        <v>-26041.666666666668</v>
      </c>
      <c r="S80" s="44">
        <v>10523.155500250989</v>
      </c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</row>
    <row r="81" spans="3:40" ht="14.65">
      <c r="D81" s="1">
        <v>11</v>
      </c>
      <c r="E81" s="55">
        <v>45962</v>
      </c>
      <c r="F81" s="1">
        <v>1</v>
      </c>
      <c r="G81" s="1">
        <v>0</v>
      </c>
      <c r="H81" s="18">
        <v>52.074817134912543</v>
      </c>
      <c r="I81" s="44">
        <v>43395.680945760454</v>
      </c>
      <c r="J81" s="18">
        <v>12.149813584946834</v>
      </c>
      <c r="K81" s="44">
        <v>10124.844654122362</v>
      </c>
      <c r="L81" s="44">
        <v>9112.3601887101267</v>
      </c>
      <c r="M81" s="44">
        <v>-262.5402056723529</v>
      </c>
      <c r="N81" s="44">
        <v>42120.656274675865</v>
      </c>
      <c r="O81" s="44">
        <v>-3333.3333333333335</v>
      </c>
      <c r="P81" s="44">
        <v>-2048.6111111111113</v>
      </c>
      <c r="Q81" s="44">
        <v>36738.711830231419</v>
      </c>
      <c r="R81" s="44">
        <v>-26041.666666666668</v>
      </c>
      <c r="S81" s="44">
        <v>10697.045163564751</v>
      </c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</row>
    <row r="82" spans="3:40" ht="14.65">
      <c r="D82" s="1">
        <v>12</v>
      </c>
      <c r="E82" s="55">
        <v>45992</v>
      </c>
      <c r="F82" s="1">
        <v>1</v>
      </c>
      <c r="G82" s="1">
        <v>0</v>
      </c>
      <c r="H82" s="18">
        <v>52.286976385931027</v>
      </c>
      <c r="I82" s="44">
        <v>43572.48032160919</v>
      </c>
      <c r="J82" s="18">
        <v>12.164897429269695</v>
      </c>
      <c r="K82" s="44">
        <v>10137.414524391412</v>
      </c>
      <c r="L82" s="44">
        <v>9123.6730719522711</v>
      </c>
      <c r="M82" s="44">
        <v>-263.48076696780731</v>
      </c>
      <c r="N82" s="44">
        <v>42295.258102202242</v>
      </c>
      <c r="O82" s="44">
        <v>-3333.3333333333335</v>
      </c>
      <c r="P82" s="44">
        <v>-2048.6111111111113</v>
      </c>
      <c r="Q82" s="44">
        <v>36913.313657757797</v>
      </c>
      <c r="R82" s="44">
        <v>-26041.666666666668</v>
      </c>
      <c r="S82" s="44">
        <v>10871.646991091129</v>
      </c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</row>
    <row r="83" spans="3:40" ht="14.65">
      <c r="C83" s="64" t="s">
        <v>221</v>
      </c>
      <c r="D83" s="64"/>
      <c r="E83" s="64"/>
      <c r="F83" s="64">
        <v>11</v>
      </c>
      <c r="G83" s="64">
        <v>1</v>
      </c>
      <c r="H83" s="72">
        <v>613.62887647986395</v>
      </c>
      <c r="I83" s="65">
        <v>427854.30857556802</v>
      </c>
      <c r="J83" s="72">
        <v>144.98733867041733</v>
      </c>
      <c r="K83" s="65">
        <v>120822.78222534776</v>
      </c>
      <c r="L83" s="65">
        <v>99740.504002812988</v>
      </c>
      <c r="M83" s="65">
        <v>-2637.9740628919053</v>
      </c>
      <c r="N83" s="65">
        <v>404134.05629014137</v>
      </c>
      <c r="O83" s="65">
        <v>-40000</v>
      </c>
      <c r="P83" s="65">
        <v>-24583.333333333328</v>
      </c>
      <c r="Q83" s="65">
        <v>339550.72295680805</v>
      </c>
      <c r="R83" s="65">
        <v>-312500</v>
      </c>
      <c r="S83" s="65">
        <v>27050.722956808</v>
      </c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</row>
    <row r="84" spans="3:40" ht="14.65"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</row>
    <row r="85" spans="3:40" ht="14.65"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</row>
    <row r="86" spans="3:40" ht="14.65"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</row>
    <row r="87" spans="3:40" ht="14.65"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</row>
    <row r="88" spans="3:40" ht="14.65"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</row>
    <row r="89" spans="3:40" ht="14.65"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</row>
    <row r="90" spans="3:40" ht="14.65"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</row>
    <row r="91" spans="3:40" ht="14.65"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</row>
    <row r="92" spans="3:40" ht="14.65"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</row>
    <row r="93" spans="3:40" ht="14.65"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</row>
    <row r="94" spans="3:40" ht="14.65"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</row>
    <row r="95" spans="3:40" ht="14.65"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</row>
    <row r="96" spans="3:40" ht="14.65"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</row>
  </sheetData>
  <mergeCells count="3">
    <mergeCell ref="U16:Z16"/>
    <mergeCell ref="L16:N16"/>
    <mergeCell ref="Q16:S16"/>
  </mergeCells>
  <phoneticPr fontId="1" type="noConversion"/>
  <conditionalFormatting sqref="N19:N20">
    <cfRule type="cellIs" dxfId="62" priority="4" operator="lessThan">
      <formula>0</formula>
    </cfRule>
  </conditionalFormatting>
  <conditionalFormatting sqref="W19:W20">
    <cfRule type="cellIs" dxfId="61" priority="2" operator="lessThan">
      <formula>0</formula>
    </cfRule>
  </conditionalFormatting>
  <conditionalFormatting sqref="Z19:Z20">
    <cfRule type="cellIs" dxfId="60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B2" sqref="B2"/>
    </sheetView>
  </sheetViews>
  <sheetFormatPr defaultRowHeight="14.25"/>
  <cols>
    <col min="1" max="2" width="13" style="11" bestFit="1" customWidth="1"/>
    <col min="3" max="16384" width="9.06640625" style="11"/>
  </cols>
  <sheetData>
    <row r="1" spans="1:2">
      <c r="A1" s="10" t="s">
        <v>22</v>
      </c>
      <c r="B1" s="10" t="s">
        <v>23</v>
      </c>
    </row>
    <row r="2" spans="1:2">
      <c r="A2" s="11">
        <v>1</v>
      </c>
      <c r="B2" s="12">
        <f>EDATE(Inputs!$B$3,ROW()-2)</f>
        <v>45658</v>
      </c>
    </row>
    <row r="3" spans="1:2">
      <c r="A3" s="11">
        <v>2</v>
      </c>
      <c r="B3" s="12">
        <f>EDATE(Inputs!$B$3,ROW()-2)</f>
        <v>45689</v>
      </c>
    </row>
    <row r="4" spans="1:2">
      <c r="A4" s="11">
        <v>3</v>
      </c>
      <c r="B4" s="12">
        <f>EDATE(Inputs!$B$3,ROW()-2)</f>
        <v>45717</v>
      </c>
    </row>
    <row r="5" spans="1:2">
      <c r="A5" s="11">
        <v>4</v>
      </c>
      <c r="B5" s="12">
        <f>EDATE(Inputs!$B$3,ROW()-2)</f>
        <v>45748</v>
      </c>
    </row>
    <row r="6" spans="1:2">
      <c r="A6" s="11">
        <v>5</v>
      </c>
      <c r="B6" s="12">
        <f>EDATE(Inputs!$B$3,ROW()-2)</f>
        <v>45778</v>
      </c>
    </row>
    <row r="7" spans="1:2">
      <c r="A7" s="11">
        <v>6</v>
      </c>
      <c r="B7" s="12">
        <f>EDATE(Inputs!$B$3,ROW()-2)</f>
        <v>45809</v>
      </c>
    </row>
    <row r="8" spans="1:2">
      <c r="A8" s="11">
        <v>7</v>
      </c>
      <c r="B8" s="12">
        <f>EDATE(Inputs!$B$3,ROW()-2)</f>
        <v>45839</v>
      </c>
    </row>
    <row r="9" spans="1:2">
      <c r="A9" s="11">
        <v>8</v>
      </c>
      <c r="B9" s="12">
        <f>EDATE(Inputs!$B$3,ROW()-2)</f>
        <v>45870</v>
      </c>
    </row>
    <row r="10" spans="1:2">
      <c r="A10" s="11">
        <v>9</v>
      </c>
      <c r="B10" s="12">
        <f>EDATE(Inputs!$B$3,ROW()-2)</f>
        <v>45901</v>
      </c>
    </row>
    <row r="11" spans="1:2">
      <c r="A11" s="11">
        <v>10</v>
      </c>
      <c r="B11" s="12">
        <f>EDATE(Inputs!$B$3,ROW()-2)</f>
        <v>45931</v>
      </c>
    </row>
    <row r="12" spans="1:2">
      <c r="A12" s="11">
        <v>11</v>
      </c>
      <c r="B12" s="12">
        <f>EDATE(Inputs!$B$3,ROW()-2)</f>
        <v>45962</v>
      </c>
    </row>
    <row r="13" spans="1:2">
      <c r="A13" s="11">
        <v>12</v>
      </c>
      <c r="B13" s="12">
        <f>EDATE(Inputs!$B$3,ROW()-2)</f>
        <v>45992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B7CE8-88C5-4938-AAA6-87B9BBE0AD8E}">
  <dimension ref="A1:J17"/>
  <sheetViews>
    <sheetView zoomScale="85" zoomScaleNormal="85" workbookViewId="0">
      <selection activeCell="F19" sqref="F19"/>
    </sheetView>
  </sheetViews>
  <sheetFormatPr defaultRowHeight="14.25"/>
  <cols>
    <col min="1" max="1" width="9.06640625" style="1"/>
    <col min="2" max="2" width="10.3984375" style="1" bestFit="1" customWidth="1"/>
    <col min="3" max="3" width="11" style="1" customWidth="1"/>
    <col min="4" max="4" width="9.06640625" style="1"/>
    <col min="5" max="5" width="12.86328125" style="1" bestFit="1" customWidth="1"/>
    <col min="6" max="7" width="9.06640625" style="1"/>
    <col min="8" max="9" width="11" style="1" bestFit="1" customWidth="1"/>
    <col min="10" max="16384" width="9.06640625" style="1"/>
  </cols>
  <sheetData>
    <row r="1" spans="1:10" ht="14.65">
      <c r="A1" s="13" t="s">
        <v>86</v>
      </c>
      <c r="F1"/>
      <c r="G1"/>
      <c r="H1"/>
      <c r="I1"/>
      <c r="J1"/>
    </row>
    <row r="2" spans="1:10" ht="14.65">
      <c r="A2" s="22"/>
      <c r="F2"/>
      <c r="G2"/>
      <c r="H2"/>
      <c r="I2"/>
      <c r="J2"/>
    </row>
    <row r="3" spans="1:10" ht="14.65">
      <c r="A3" s="22"/>
      <c r="F3"/>
      <c r="G3"/>
      <c r="H3"/>
      <c r="I3"/>
      <c r="J3"/>
    </row>
    <row r="4" spans="1:10" s="6" customFormat="1" ht="28.5">
      <c r="A4" s="5" t="s">
        <v>82</v>
      </c>
      <c r="B4" s="5" t="s">
        <v>83</v>
      </c>
      <c r="C4" s="5" t="s">
        <v>84</v>
      </c>
      <c r="D4" s="5" t="s">
        <v>87</v>
      </c>
      <c r="E4" s="5" t="s">
        <v>85</v>
      </c>
      <c r="F4"/>
      <c r="G4"/>
      <c r="H4"/>
      <c r="I4"/>
      <c r="J4"/>
    </row>
    <row r="5" spans="1:10" ht="14.65">
      <c r="A5" s="28">
        <v>0</v>
      </c>
      <c r="B5" s="59">
        <v>379335.27508603054</v>
      </c>
      <c r="C5" s="59">
        <v>2251.9417526972138</v>
      </c>
      <c r="D5" s="44">
        <f t="shared" ref="D5:D10" si="0">B5-INDEX(B$4:B$10, MATCH($A$7, A$4:A$10, 0))</f>
        <v>-6668.1919077037601</v>
      </c>
      <c r="E5" s="23">
        <f t="shared" ref="E5:E10" si="1">B5/INDEX(B$4:B$10, MATCH($A$7, A$4:A$10, 0))-1</f>
        <v>-1.7274953408156768E-2</v>
      </c>
      <c r="F5" s="44">
        <f>D5-INDEX(D$4:D$10, MATCH($A$7, A$4:A$10, 0))</f>
        <v>-6668.1919077037601</v>
      </c>
      <c r="G5"/>
      <c r="H5"/>
      <c r="I5"/>
      <c r="J5"/>
    </row>
    <row r="6" spans="1:10" ht="14.65">
      <c r="A6" s="28">
        <v>0.02</v>
      </c>
      <c r="B6" s="59">
        <v>383788.42374912841</v>
      </c>
      <c r="C6" s="59">
        <v>6705.0904157950608</v>
      </c>
      <c r="D6" s="44">
        <f t="shared" si="0"/>
        <v>-2215.043244605884</v>
      </c>
      <c r="E6" s="23">
        <f t="shared" si="1"/>
        <v>-5.7384024601049299E-3</v>
      </c>
      <c r="F6"/>
      <c r="G6"/>
      <c r="H6"/>
      <c r="I6"/>
      <c r="J6"/>
    </row>
    <row r="7" spans="1:10" ht="14.65">
      <c r="A7" s="60">
        <v>0.03</v>
      </c>
      <c r="B7" s="59">
        <v>386003.4669937343</v>
      </c>
      <c r="C7" s="59">
        <v>8920.1336604010539</v>
      </c>
      <c r="D7" s="44">
        <f t="shared" si="0"/>
        <v>0</v>
      </c>
      <c r="E7" s="23">
        <f t="shared" si="1"/>
        <v>0</v>
      </c>
      <c r="F7"/>
      <c r="G7"/>
      <c r="H7"/>
      <c r="I7"/>
      <c r="J7"/>
    </row>
    <row r="8" spans="1:10" ht="14.65">
      <c r="A8" s="28">
        <v>0.04</v>
      </c>
      <c r="B8" s="59">
        <v>388210.97020630114</v>
      </c>
      <c r="C8" s="59">
        <v>11127.636872967803</v>
      </c>
      <c r="D8" s="44">
        <f t="shared" si="0"/>
        <v>2207.5032125668367</v>
      </c>
      <c r="E8" s="23">
        <f t="shared" si="1"/>
        <v>5.7188688737934701E-3</v>
      </c>
      <c r="F8"/>
      <c r="G8"/>
      <c r="H8"/>
      <c r="I8"/>
      <c r="J8"/>
    </row>
    <row r="9" spans="1:10" ht="14.65">
      <c r="A9" s="28">
        <v>0.05</v>
      </c>
      <c r="B9" s="59">
        <v>390411.04057584278</v>
      </c>
      <c r="C9" s="59">
        <v>13327.707242509485</v>
      </c>
      <c r="D9" s="44">
        <f t="shared" si="0"/>
        <v>4407.5735821084818</v>
      </c>
      <c r="E9" s="23">
        <f t="shared" si="1"/>
        <v>1.1418481850527185E-2</v>
      </c>
      <c r="F9"/>
      <c r="G9"/>
      <c r="H9"/>
      <c r="I9"/>
      <c r="J9"/>
    </row>
    <row r="10" spans="1:10">
      <c r="A10" s="28">
        <v>0.06</v>
      </c>
      <c r="B10" s="59">
        <v>392603.78273424326</v>
      </c>
      <c r="C10" s="59">
        <v>15520.449400909973</v>
      </c>
      <c r="D10" s="44">
        <f t="shared" si="0"/>
        <v>6600.3157405089587</v>
      </c>
      <c r="E10" s="23">
        <f t="shared" si="1"/>
        <v>1.7099109994823225E-2</v>
      </c>
    </row>
    <row r="12" spans="1:10">
      <c r="B12" s="58"/>
      <c r="C12" s="58"/>
    </row>
    <row r="13" spans="1:10">
      <c r="B13" s="58"/>
      <c r="C13" s="58"/>
    </row>
    <row r="14" spans="1:10">
      <c r="B14" s="58"/>
      <c r="C14" s="58"/>
    </row>
    <row r="15" spans="1:10">
      <c r="B15" s="58"/>
      <c r="C15" s="58"/>
    </row>
    <row r="16" spans="1:10">
      <c r="B16" s="58"/>
      <c r="C16" s="58"/>
    </row>
    <row r="17" spans="2:3">
      <c r="B17" s="58"/>
      <c r="C17" s="58"/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4B8DA-6279-4286-9E84-A4889D4A09E2}">
  <dimension ref="A1:J17"/>
  <sheetViews>
    <sheetView zoomScale="85" zoomScaleNormal="85" workbookViewId="0">
      <selection activeCell="C12" sqref="C12"/>
    </sheetView>
  </sheetViews>
  <sheetFormatPr defaultRowHeight="14.25"/>
  <cols>
    <col min="1" max="1" width="9.06640625" style="1"/>
    <col min="2" max="2" width="10.3984375" style="1" bestFit="1" customWidth="1"/>
    <col min="3" max="3" width="9.3984375" style="1" bestFit="1" customWidth="1"/>
    <col min="4" max="4" width="9.06640625" style="1"/>
    <col min="5" max="5" width="12.86328125" style="1" bestFit="1" customWidth="1"/>
    <col min="6" max="7" width="9.06640625" style="1"/>
    <col min="8" max="9" width="11" style="1" bestFit="1" customWidth="1"/>
    <col min="10" max="16384" width="9.06640625" style="1"/>
  </cols>
  <sheetData>
    <row r="1" spans="1:10" ht="14.65">
      <c r="A1" s="13" t="s">
        <v>195</v>
      </c>
      <c r="F1"/>
      <c r="G1"/>
      <c r="H1"/>
      <c r="I1"/>
      <c r="J1"/>
    </row>
    <row r="2" spans="1:10" ht="14.65">
      <c r="A2" s="22"/>
      <c r="F2"/>
      <c r="G2"/>
      <c r="H2"/>
      <c r="I2"/>
      <c r="J2"/>
    </row>
    <row r="3" spans="1:10" ht="14.65">
      <c r="A3" s="22"/>
      <c r="F3"/>
      <c r="G3"/>
      <c r="H3"/>
      <c r="I3"/>
      <c r="J3"/>
    </row>
    <row r="4" spans="1:10" s="6" customFormat="1" ht="28.5">
      <c r="A4" s="5" t="s">
        <v>82</v>
      </c>
      <c r="B4" s="5" t="s">
        <v>83</v>
      </c>
      <c r="C4" s="5" t="s">
        <v>84</v>
      </c>
      <c r="D4" s="5" t="s">
        <v>87</v>
      </c>
      <c r="E4" s="5" t="s">
        <v>85</v>
      </c>
      <c r="F4"/>
      <c r="G4"/>
      <c r="H4"/>
      <c r="I4"/>
      <c r="J4"/>
    </row>
    <row r="5" spans="1:10" ht="14.65">
      <c r="A5" s="26">
        <v>0</v>
      </c>
      <c r="B5" s="44">
        <v>435275.20062184188</v>
      </c>
      <c r="C5" s="44">
        <v>78123.484202288222</v>
      </c>
      <c r="D5" s="44">
        <f>B5-INDEX(B$4:B$10, MATCH($A$6, A$4:A$10, 0))</f>
        <v>49271.733628107584</v>
      </c>
      <c r="E5" s="24">
        <f>B5/INDEX(B$4:B$10, MATCH($A$6, A$4:A$10, 0))-1</f>
        <v>0.12764583181556599</v>
      </c>
      <c r="F5" s="54"/>
      <c r="G5"/>
      <c r="H5"/>
      <c r="I5"/>
      <c r="J5"/>
    </row>
    <row r="6" spans="1:10" ht="14.65">
      <c r="A6" s="61">
        <v>1</v>
      </c>
      <c r="B6" s="44">
        <v>386003.4669937343</v>
      </c>
      <c r="C6" s="44">
        <v>29269.444853252473</v>
      </c>
      <c r="D6" s="44">
        <f>B6-INDEX(B$4:B$10, MATCH($A$6, A$4:A$10, 0))</f>
        <v>0</v>
      </c>
      <c r="E6" s="24">
        <f>B6/INDEX(B$4:B$10, MATCH($A$6, A$4:A$10, 0))-1</f>
        <v>0</v>
      </c>
      <c r="F6"/>
      <c r="G6"/>
      <c r="H6"/>
      <c r="I6"/>
      <c r="J6"/>
    </row>
    <row r="7" spans="1:10" ht="14.65">
      <c r="A7" s="26">
        <v>2</v>
      </c>
      <c r="B7" s="44">
        <v>336613.4349316904</v>
      </c>
      <c r="C7" s="44">
        <v>-19701.862782945151</v>
      </c>
      <c r="D7" s="44">
        <f>B7-INDEX(B$4:B$10, MATCH($A$6, A$4:A$10, 0))</f>
        <v>-49390.032062043902</v>
      </c>
      <c r="E7" s="24">
        <f>B7/INDEX(B$4:B$10, MATCH($A$6, A$4:A$10, 0))-1</f>
        <v>-0.12795230168967786</v>
      </c>
      <c r="F7"/>
      <c r="G7"/>
      <c r="H7"/>
      <c r="I7"/>
      <c r="J7"/>
    </row>
    <row r="8" spans="1:10" ht="14.65">
      <c r="A8" s="26">
        <v>3</v>
      </c>
      <c r="B8" s="44">
        <v>287104.81931037497</v>
      </c>
      <c r="C8" s="44">
        <v>-68790.721291019872</v>
      </c>
      <c r="D8" s="44">
        <f>B8-INDEX(B$4:B$10, MATCH($A$6, A$4:A$10, 0))</f>
        <v>-98898.647683359333</v>
      </c>
      <c r="E8" s="24">
        <f>B8/INDEX(B$4:B$10, MATCH($A$6, A$4:A$10, 0))-1</f>
        <v>-0.25621181191350462</v>
      </c>
      <c r="F8"/>
      <c r="G8"/>
      <c r="H8"/>
      <c r="I8"/>
      <c r="J8"/>
    </row>
    <row r="9" spans="1:10" ht="14.65">
      <c r="A9"/>
      <c r="B9"/>
      <c r="C9"/>
      <c r="D9"/>
      <c r="E9"/>
      <c r="F9"/>
      <c r="G9"/>
      <c r="H9"/>
      <c r="I9"/>
      <c r="J9"/>
    </row>
    <row r="10" spans="1:10" ht="14.65">
      <c r="A10"/>
      <c r="B10"/>
      <c r="C10"/>
      <c r="D10"/>
      <c r="E10"/>
    </row>
    <row r="11" spans="1:10" ht="14.65">
      <c r="A11"/>
      <c r="B11"/>
      <c r="C11"/>
      <c r="D11"/>
      <c r="E11"/>
    </row>
    <row r="12" spans="1:10">
      <c r="B12" s="58"/>
      <c r="C12" s="58"/>
    </row>
    <row r="13" spans="1:10">
      <c r="B13" s="58"/>
      <c r="C13" s="58"/>
    </row>
    <row r="14" spans="1:10">
      <c r="B14" s="58"/>
      <c r="C14" s="58"/>
    </row>
    <row r="15" spans="1:10">
      <c r="B15" s="58"/>
      <c r="C15" s="58"/>
    </row>
    <row r="16" spans="1:10">
      <c r="B16" s="58"/>
      <c r="C16" s="58"/>
    </row>
    <row r="17" spans="2:3">
      <c r="B17" s="58"/>
      <c r="C17" s="58"/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1B7C0-3ACC-4DE8-9A26-947AB2BFD984}">
  <dimension ref="A1:J17"/>
  <sheetViews>
    <sheetView zoomScale="85" zoomScaleNormal="85" workbookViewId="0">
      <selection activeCell="B5" sqref="B5:C7"/>
    </sheetView>
  </sheetViews>
  <sheetFormatPr defaultRowHeight="14.25"/>
  <cols>
    <col min="1" max="1" width="9.06640625" style="1"/>
    <col min="2" max="2" width="11.33203125" style="1" bestFit="1" customWidth="1"/>
    <col min="3" max="3" width="9.46484375" style="1" bestFit="1" customWidth="1"/>
    <col min="4" max="4" width="9.06640625" style="1"/>
    <col min="5" max="5" width="12.86328125" style="1" bestFit="1" customWidth="1"/>
    <col min="6" max="7" width="9.06640625" style="1"/>
    <col min="8" max="9" width="11" style="1" bestFit="1" customWidth="1"/>
    <col min="10" max="16384" width="9.06640625" style="1"/>
  </cols>
  <sheetData>
    <row r="1" spans="1:10" ht="14.65">
      <c r="A1" s="13" t="s">
        <v>196</v>
      </c>
      <c r="F1"/>
      <c r="G1"/>
      <c r="H1"/>
      <c r="I1"/>
      <c r="J1"/>
    </row>
    <row r="2" spans="1:10" ht="14.65">
      <c r="A2" s="22"/>
      <c r="F2"/>
      <c r="G2"/>
      <c r="H2"/>
      <c r="I2"/>
      <c r="J2"/>
    </row>
    <row r="3" spans="1:10" ht="14.65">
      <c r="A3" s="22"/>
      <c r="F3"/>
      <c r="G3"/>
      <c r="H3"/>
      <c r="I3"/>
      <c r="J3"/>
    </row>
    <row r="4" spans="1:10" s="6" customFormat="1" ht="28.5">
      <c r="A4" s="5" t="s">
        <v>82</v>
      </c>
      <c r="B4" s="5" t="s">
        <v>83</v>
      </c>
      <c r="C4" s="5" t="s">
        <v>84</v>
      </c>
      <c r="D4" s="5" t="s">
        <v>87</v>
      </c>
      <c r="E4" s="5" t="s">
        <v>85</v>
      </c>
      <c r="F4"/>
      <c r="G4"/>
      <c r="H4"/>
      <c r="I4"/>
      <c r="J4"/>
    </row>
    <row r="5" spans="1:10" ht="14.65">
      <c r="A5" s="29">
        <v>1.4999999999999999E-2</v>
      </c>
      <c r="B5" s="59">
        <v>386117.05320483155</v>
      </c>
      <c r="C5" s="59">
        <v>29383.031064349667</v>
      </c>
      <c r="D5" s="44">
        <f>B5-INDEX(B$4:B$10, MATCH($A$6, A$4:A$10, 0))</f>
        <v>113.58621109725209</v>
      </c>
      <c r="E5" s="23">
        <f>B5/INDEX(B$4:B$10, MATCH($A$6, A$4:A$10, 0))-1</f>
        <v>2.9426215257055688E-4</v>
      </c>
      <c r="F5" s="62"/>
      <c r="G5"/>
      <c r="H5"/>
      <c r="I5"/>
      <c r="J5"/>
    </row>
    <row r="6" spans="1:10" ht="14.65">
      <c r="A6" s="60">
        <v>2.5000000000000001E-2</v>
      </c>
      <c r="B6" s="59">
        <v>386003.4669937343</v>
      </c>
      <c r="C6" s="59">
        <v>29269.444853252473</v>
      </c>
      <c r="D6" s="44">
        <f>B6-INDEX(B$4:B$10, MATCH($A$6, A$4:A$10, 0))</f>
        <v>0</v>
      </c>
      <c r="E6" s="23">
        <f>B6/INDEX(B$4:B$10, MATCH($A$6, A$4:A$10, 0))-1</f>
        <v>0</v>
      </c>
      <c r="F6"/>
      <c r="G6"/>
      <c r="H6"/>
      <c r="I6"/>
      <c r="J6"/>
    </row>
    <row r="7" spans="1:10" ht="14.65">
      <c r="A7" s="29">
        <v>3.5000000000000003E-2</v>
      </c>
      <c r="B7" s="59">
        <v>385890.27889034234</v>
      </c>
      <c r="C7" s="59">
        <v>29156.256749860415</v>
      </c>
      <c r="D7" s="44">
        <f>B7-INDEX(B$4:B$10, MATCH($A$6, A$4:A$10, 0))</f>
        <v>-113.18810339196352</v>
      </c>
      <c r="E7" s="23">
        <f>B7/INDEX(B$4:B$10, MATCH($A$6, A$4:A$10, 0))-1</f>
        <v>-2.9323079472187707E-4</v>
      </c>
      <c r="F7"/>
      <c r="G7"/>
      <c r="H7"/>
      <c r="I7"/>
      <c r="J7"/>
    </row>
    <row r="8" spans="1:10" ht="14.65">
      <c r="A8"/>
      <c r="D8" s="44"/>
      <c r="E8" s="24"/>
      <c r="F8"/>
      <c r="G8"/>
      <c r="H8"/>
      <c r="I8"/>
      <c r="J8"/>
    </row>
    <row r="9" spans="1:10" ht="14.65">
      <c r="A9"/>
      <c r="B9"/>
      <c r="C9"/>
      <c r="D9"/>
      <c r="E9"/>
      <c r="F9"/>
      <c r="G9"/>
      <c r="H9"/>
      <c r="I9"/>
      <c r="J9"/>
    </row>
    <row r="10" spans="1:10" ht="14.65">
      <c r="A10"/>
      <c r="B10"/>
      <c r="C10"/>
      <c r="D10"/>
      <c r="E10"/>
    </row>
    <row r="11" spans="1:10" ht="14.65">
      <c r="A11"/>
      <c r="B11"/>
      <c r="C11"/>
      <c r="D11"/>
      <c r="E11"/>
    </row>
    <row r="12" spans="1:10">
      <c r="B12" s="58"/>
      <c r="C12" s="58"/>
    </row>
    <row r="13" spans="1:10">
      <c r="B13" s="58"/>
      <c r="C13" s="58"/>
    </row>
    <row r="14" spans="1:10">
      <c r="B14" s="58"/>
      <c r="C14" s="58"/>
    </row>
    <row r="15" spans="1:10">
      <c r="B15" s="58"/>
      <c r="C15" s="58"/>
    </row>
    <row r="16" spans="1:10">
      <c r="B16" s="58"/>
      <c r="C16" s="58"/>
    </row>
    <row r="17" spans="2:3">
      <c r="B17" s="58"/>
      <c r="C17" s="58"/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A9E4E-E3F5-41F3-B868-FB1D434C98E5}">
  <dimension ref="A1:J17"/>
  <sheetViews>
    <sheetView zoomScale="85" zoomScaleNormal="85" workbookViewId="0">
      <selection activeCell="K22" sqref="K22"/>
    </sheetView>
  </sheetViews>
  <sheetFormatPr defaultRowHeight="14.25"/>
  <cols>
    <col min="1" max="1" width="9.06640625" style="1"/>
    <col min="2" max="2" width="11.3984375" style="1" bestFit="1" customWidth="1"/>
    <col min="3" max="3" width="11" style="1" bestFit="1" customWidth="1"/>
    <col min="4" max="4" width="9.06640625" style="1"/>
    <col min="5" max="5" width="12.86328125" style="1" bestFit="1" customWidth="1"/>
    <col min="6" max="7" width="9.06640625" style="1"/>
    <col min="8" max="9" width="11" style="1" bestFit="1" customWidth="1"/>
    <col min="10" max="16384" width="9.06640625" style="1"/>
  </cols>
  <sheetData>
    <row r="1" spans="1:10" ht="14.65">
      <c r="A1" s="13" t="s">
        <v>197</v>
      </c>
      <c r="F1"/>
      <c r="G1"/>
      <c r="H1"/>
      <c r="I1"/>
      <c r="J1"/>
    </row>
    <row r="2" spans="1:10" ht="14.65">
      <c r="A2" s="22"/>
      <c r="F2"/>
      <c r="G2"/>
      <c r="H2"/>
      <c r="I2"/>
      <c r="J2"/>
    </row>
    <row r="3" spans="1:10" ht="14.65">
      <c r="A3" s="22"/>
      <c r="F3"/>
      <c r="G3"/>
      <c r="H3"/>
      <c r="I3"/>
      <c r="J3"/>
    </row>
    <row r="4" spans="1:10" s="6" customFormat="1" ht="28.9">
      <c r="A4" s="5" t="s">
        <v>82</v>
      </c>
      <c r="B4" s="5" t="s">
        <v>83</v>
      </c>
      <c r="C4" s="5" t="s">
        <v>84</v>
      </c>
      <c r="D4" s="5" t="s">
        <v>87</v>
      </c>
      <c r="E4" s="5" t="s">
        <v>85</v>
      </c>
      <c r="F4" s="5" t="s">
        <v>198</v>
      </c>
      <c r="G4" s="5" t="s">
        <v>85</v>
      </c>
      <c r="H4"/>
      <c r="I4"/>
      <c r="J4"/>
    </row>
    <row r="5" spans="1:10" ht="14.65">
      <c r="A5" s="30">
        <v>0.03</v>
      </c>
      <c r="B5" s="59">
        <v>386003.4669937343</v>
      </c>
      <c r="C5" s="59">
        <v>79269.444853252498</v>
      </c>
      <c r="D5" s="44">
        <f>B5-INDEX(B$4:B$10, MATCH($A$7, A$4:A$10, 0))</f>
        <v>0</v>
      </c>
      <c r="E5" s="23">
        <f>B5/INDEX(B$4:B$10, MATCH($A$7, A$4:A$10, 0))-1</f>
        <v>0</v>
      </c>
      <c r="F5" s="44">
        <f>C5-INDEX(C$4:C$10, MATCH($A$7, A$4:A$10, 0))</f>
        <v>50000.000000000029</v>
      </c>
      <c r="G5" s="56">
        <f>C5/INDEX(C$4:C$10, MATCH($A$7, A$4:A$10, 0))-1</f>
        <v>1.7082660860390022</v>
      </c>
      <c r="H5"/>
      <c r="I5"/>
      <c r="J5"/>
    </row>
    <row r="6" spans="1:10" ht="14.65">
      <c r="A6" s="30">
        <v>0.04</v>
      </c>
      <c r="B6" s="59">
        <v>386003.4669937343</v>
      </c>
      <c r="C6" s="59">
        <v>54269.444853252513</v>
      </c>
      <c r="D6" s="44">
        <f>B6-INDEX(B$4:B$10, MATCH($A$7, A$4:A$10, 0))</f>
        <v>0</v>
      </c>
      <c r="E6" s="23">
        <f>B6/INDEX(B$4:B$10, MATCH($A$7, A$4:A$10, 0))-1</f>
        <v>0</v>
      </c>
      <c r="F6" s="44">
        <f>C6-INDEX(C$4:C$10, MATCH($A$7, A$4:A$10, 0))</f>
        <v>25000.00000000004</v>
      </c>
      <c r="G6" s="56">
        <f>C6/INDEX(C$4:C$10, MATCH($A$7, A$4:A$10, 0))-1</f>
        <v>0.85413304301950221</v>
      </c>
      <c r="H6"/>
      <c r="I6"/>
      <c r="J6"/>
    </row>
    <row r="7" spans="1:10" ht="14.65">
      <c r="A7" s="60">
        <v>0.05</v>
      </c>
      <c r="B7" s="59">
        <v>386003.4669937343</v>
      </c>
      <c r="C7" s="59">
        <v>29269.444853252473</v>
      </c>
      <c r="D7" s="44">
        <f>B7-INDEX(B$4:B$10, MATCH($A$7, A$4:A$10, 0))</f>
        <v>0</v>
      </c>
      <c r="E7" s="23">
        <f>B7/INDEX(B$4:B$10, MATCH($A$7, A$4:A$10, 0))-1</f>
        <v>0</v>
      </c>
      <c r="F7" s="44">
        <f>C7-INDEX(C$4:C$10, MATCH($A$7, A$4:A$10, 0))</f>
        <v>0</v>
      </c>
      <c r="G7" s="56">
        <f>C7/INDEX(C$4:C$10, MATCH($A$7, A$4:A$10, 0))-1</f>
        <v>0</v>
      </c>
      <c r="H7"/>
      <c r="I7"/>
      <c r="J7"/>
    </row>
    <row r="8" spans="1:10" ht="14.65">
      <c r="A8" s="30">
        <v>0.06</v>
      </c>
      <c r="B8" s="59">
        <v>386003.4669937343</v>
      </c>
      <c r="C8" s="59">
        <v>4269.4448532524912</v>
      </c>
      <c r="D8" s="44">
        <f>B8-INDEX(B$4:B$10, MATCH($A$7, A$4:A$10, 0))</f>
        <v>0</v>
      </c>
      <c r="E8" s="23">
        <f>B8/INDEX(B$4:B$10, MATCH($A$7, A$4:A$10, 0))-1</f>
        <v>0</v>
      </c>
      <c r="F8" s="44">
        <f>C8-INDEX(C$4:C$10, MATCH($A$7, A$4:A$10, 0))</f>
        <v>-24999.999999999982</v>
      </c>
      <c r="G8" s="56">
        <f>C8/INDEX(C$4:C$10, MATCH($A$7, A$4:A$10, 0))-1</f>
        <v>-0.85413304301950022</v>
      </c>
      <c r="H8"/>
      <c r="I8"/>
      <c r="J8"/>
    </row>
    <row r="9" spans="1:10" ht="14.65">
      <c r="A9" s="30">
        <v>7.0000000000000007E-2</v>
      </c>
      <c r="B9" s="59">
        <v>386003.4669937343</v>
      </c>
      <c r="C9" s="59">
        <v>-20730.555146747582</v>
      </c>
      <c r="D9" s="44">
        <f>B9-INDEX(B$4:B$10, MATCH($A$7, A$4:A$10, 0))</f>
        <v>0</v>
      </c>
      <c r="E9" s="23">
        <f>B9/INDEX(B$4:B$10, MATCH($A$7, A$4:A$10, 0))-1</f>
        <v>0</v>
      </c>
      <c r="F9" s="44">
        <f>C9-INDEX(C$4:C$10, MATCH($A$7, A$4:A$10, 0))</f>
        <v>-50000.000000000058</v>
      </c>
      <c r="G9" s="56">
        <f>C9/INDEX(C$4:C$10, MATCH($A$7, A$4:A$10, 0))-1</f>
        <v>-1.7082660860390035</v>
      </c>
      <c r="H9"/>
      <c r="I9"/>
      <c r="J9"/>
    </row>
    <row r="10" spans="1:10" ht="14.65">
      <c r="A10"/>
      <c r="B10"/>
      <c r="C10"/>
      <c r="D10"/>
      <c r="E10"/>
    </row>
    <row r="11" spans="1:10" ht="14.65">
      <c r="A11"/>
      <c r="B11"/>
      <c r="C11"/>
      <c r="D11"/>
      <c r="E11"/>
    </row>
    <row r="12" spans="1:10">
      <c r="B12" s="58"/>
      <c r="C12" s="58"/>
    </row>
    <row r="13" spans="1:10">
      <c r="B13" s="58"/>
      <c r="C13" s="58"/>
    </row>
    <row r="14" spans="1:10">
      <c r="B14" s="58"/>
      <c r="C14" s="58"/>
    </row>
    <row r="15" spans="1:10">
      <c r="B15" s="58"/>
      <c r="C15" s="58"/>
    </row>
    <row r="16" spans="1:10">
      <c r="B16" s="58"/>
      <c r="C16" s="58"/>
    </row>
    <row r="17" spans="2:3">
      <c r="B17" s="58"/>
      <c r="C17" s="58"/>
    </row>
  </sheetData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workbookViewId="0">
      <selection activeCell="C22" sqref="C22"/>
    </sheetView>
  </sheetViews>
  <sheetFormatPr defaultRowHeight="14.25"/>
  <cols>
    <col min="1" max="1" width="17.53125" style="1" bestFit="1" customWidth="1"/>
    <col min="2" max="2" width="43.265625" style="1" customWidth="1"/>
    <col min="3" max="3" width="32.3984375" style="1" customWidth="1"/>
    <col min="4" max="4" width="9.06640625" style="1"/>
    <col min="5" max="5" width="21" style="1" bestFit="1" customWidth="1"/>
    <col min="6" max="6" width="22.1328125" style="1" bestFit="1" customWidth="1"/>
    <col min="7" max="7" width="20" style="1" bestFit="1" customWidth="1"/>
    <col min="8" max="8" width="31.265625" style="1" hidden="1" customWidth="1"/>
    <col min="9" max="16384" width="9.06640625" style="1"/>
  </cols>
  <sheetData>
    <row r="1" spans="1:8" ht="14.65">
      <c r="A1" s="3" t="s">
        <v>45</v>
      </c>
      <c r="B1" s="3" t="s">
        <v>46</v>
      </c>
      <c r="E1" s="3" t="s">
        <v>151</v>
      </c>
      <c r="F1" s="3" t="s">
        <v>152</v>
      </c>
      <c r="G1" s="3" t="s">
        <v>115</v>
      </c>
      <c r="H1" s="3" t="s">
        <v>116</v>
      </c>
    </row>
    <row r="2" spans="1:8">
      <c r="A2" s="1" t="s">
        <v>24</v>
      </c>
      <c r="B2" s="4" t="s">
        <v>47</v>
      </c>
      <c r="E2" s="1" t="s">
        <v>117</v>
      </c>
      <c r="F2" s="1" t="s">
        <v>118</v>
      </c>
      <c r="H2" s="1" t="s">
        <v>119</v>
      </c>
    </row>
    <row r="3" spans="1:8">
      <c r="A3" s="1" t="s">
        <v>25</v>
      </c>
      <c r="B3" s="4" t="s">
        <v>48</v>
      </c>
      <c r="E3" s="1" t="s">
        <v>2</v>
      </c>
      <c r="F3" s="1" t="s">
        <v>2</v>
      </c>
      <c r="H3" s="1" t="s">
        <v>120</v>
      </c>
    </row>
    <row r="4" spans="1:8">
      <c r="A4" s="1" t="s">
        <v>26</v>
      </c>
      <c r="B4" s="1" t="s">
        <v>49</v>
      </c>
      <c r="E4" s="1" t="s">
        <v>121</v>
      </c>
      <c r="F4" s="1" t="s">
        <v>0</v>
      </c>
      <c r="H4" s="1" t="s">
        <v>122</v>
      </c>
    </row>
    <row r="5" spans="1:8">
      <c r="A5" s="1" t="s">
        <v>27</v>
      </c>
      <c r="B5" s="1" t="s">
        <v>39</v>
      </c>
      <c r="E5" s="1" t="s">
        <v>6</v>
      </c>
      <c r="F5" s="1" t="s">
        <v>6</v>
      </c>
      <c r="H5" s="1" t="s">
        <v>123</v>
      </c>
    </row>
    <row r="6" spans="1:8">
      <c r="A6" s="1" t="s">
        <v>28</v>
      </c>
      <c r="B6" s="1" t="s">
        <v>50</v>
      </c>
      <c r="E6" s="1" t="s">
        <v>5</v>
      </c>
      <c r="F6" s="1" t="s">
        <v>5</v>
      </c>
      <c r="H6" s="1" t="s">
        <v>123</v>
      </c>
    </row>
    <row r="7" spans="1:8">
      <c r="A7" s="1" t="s">
        <v>29</v>
      </c>
      <c r="B7" s="1" t="s">
        <v>40</v>
      </c>
      <c r="E7" s="1" t="s">
        <v>7</v>
      </c>
      <c r="F7" s="1" t="s">
        <v>7</v>
      </c>
      <c r="H7" s="1" t="s">
        <v>124</v>
      </c>
    </row>
    <row r="8" spans="1:8">
      <c r="A8" s="1" t="s">
        <v>30</v>
      </c>
      <c r="B8" s="1" t="s">
        <v>51</v>
      </c>
      <c r="E8" s="1" t="s">
        <v>125</v>
      </c>
      <c r="F8" s="1" t="s">
        <v>3</v>
      </c>
      <c r="H8" s="1" t="s">
        <v>126</v>
      </c>
    </row>
    <row r="9" spans="1:8">
      <c r="A9" s="1" t="s">
        <v>31</v>
      </c>
      <c r="B9" s="1" t="s">
        <v>41</v>
      </c>
      <c r="E9" s="1" t="s">
        <v>127</v>
      </c>
      <c r="F9" s="1" t="s">
        <v>4</v>
      </c>
      <c r="H9" s="1" t="s">
        <v>128</v>
      </c>
    </row>
    <row r="10" spans="1:8">
      <c r="A10" s="1" t="s">
        <v>32</v>
      </c>
      <c r="B10" s="1" t="s">
        <v>42</v>
      </c>
      <c r="E10" s="1" t="s">
        <v>129</v>
      </c>
      <c r="F10" s="1" t="s">
        <v>130</v>
      </c>
      <c r="G10" s="1" t="s">
        <v>131</v>
      </c>
      <c r="H10" s="1" t="s">
        <v>132</v>
      </c>
    </row>
    <row r="11" spans="1:8" ht="42.75">
      <c r="A11" s="48" t="s">
        <v>33</v>
      </c>
      <c r="B11" s="48" t="s">
        <v>73</v>
      </c>
      <c r="C11" s="41" t="s">
        <v>75</v>
      </c>
      <c r="E11" s="1" t="s">
        <v>133</v>
      </c>
      <c r="F11" s="1" t="s">
        <v>133</v>
      </c>
      <c r="H11" s="1" t="s">
        <v>134</v>
      </c>
    </row>
    <row r="12" spans="1:8" ht="28.5">
      <c r="A12" s="48" t="s">
        <v>34</v>
      </c>
      <c r="B12" s="48" t="s">
        <v>74</v>
      </c>
      <c r="C12" s="41" t="s">
        <v>76</v>
      </c>
      <c r="E12" s="1" t="s">
        <v>135</v>
      </c>
      <c r="F12" s="1" t="s">
        <v>135</v>
      </c>
      <c r="H12" s="1" t="s">
        <v>136</v>
      </c>
    </row>
    <row r="13" spans="1:8">
      <c r="A13" s="1" t="s">
        <v>35</v>
      </c>
      <c r="B13" s="1" t="s">
        <v>43</v>
      </c>
      <c r="E13" s="1" t="s">
        <v>137</v>
      </c>
      <c r="F13" s="1" t="s">
        <v>138</v>
      </c>
      <c r="H13" s="1" t="s">
        <v>139</v>
      </c>
    </row>
    <row r="14" spans="1:8">
      <c r="A14" s="1" t="s">
        <v>36</v>
      </c>
      <c r="B14" s="1" t="s">
        <v>77</v>
      </c>
      <c r="E14" s="1" t="s">
        <v>140</v>
      </c>
      <c r="F14" s="1" t="s">
        <v>140</v>
      </c>
      <c r="H14" s="1" t="s">
        <v>141</v>
      </c>
    </row>
    <row r="15" spans="1:8">
      <c r="A15" s="1" t="s">
        <v>37</v>
      </c>
      <c r="B15" s="1" t="s">
        <v>44</v>
      </c>
      <c r="E15" s="1" t="s">
        <v>142</v>
      </c>
      <c r="F15" s="1" t="s">
        <v>143</v>
      </c>
      <c r="H15" s="1" t="s">
        <v>144</v>
      </c>
    </row>
    <row r="16" spans="1:8">
      <c r="E16" s="1" t="s">
        <v>145</v>
      </c>
      <c r="F16" s="1" t="s">
        <v>146</v>
      </c>
      <c r="H16" s="1" t="s">
        <v>147</v>
      </c>
    </row>
    <row r="17" spans="5:8">
      <c r="E17" s="1" t="s">
        <v>148</v>
      </c>
      <c r="F17" s="1" t="s">
        <v>149</v>
      </c>
      <c r="G17" s="1" t="s">
        <v>153</v>
      </c>
      <c r="H17" s="1" t="s">
        <v>150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D2714-A7E2-469B-884F-C1E32C8CFC7B}">
  <dimension ref="A1:D18"/>
  <sheetViews>
    <sheetView workbookViewId="0">
      <selection activeCell="I14" sqref="I14"/>
    </sheetView>
  </sheetViews>
  <sheetFormatPr defaultRowHeight="14.25"/>
  <cols>
    <col min="1" max="1" width="12.796875" style="4" customWidth="1"/>
    <col min="2" max="2" width="21.796875" style="4" hidden="1" customWidth="1"/>
    <col min="3" max="3" width="23.86328125" style="4" customWidth="1"/>
    <col min="4" max="4" width="45.46484375" style="4" customWidth="1"/>
    <col min="5" max="16384" width="9.06640625" style="4"/>
  </cols>
  <sheetData>
    <row r="1" spans="1:4">
      <c r="A1" s="50" t="s">
        <v>154</v>
      </c>
    </row>
    <row r="2" spans="1:4">
      <c r="A2" s="4" t="s">
        <v>155</v>
      </c>
    </row>
    <row r="3" spans="1:4">
      <c r="A3" s="4" t="s">
        <v>192</v>
      </c>
    </row>
    <row r="5" spans="1:4" ht="42.75">
      <c r="A5" s="51" t="s">
        <v>156</v>
      </c>
      <c r="B5" s="51" t="s">
        <v>158</v>
      </c>
      <c r="C5" s="52" t="s">
        <v>157</v>
      </c>
      <c r="D5" s="52" t="s">
        <v>159</v>
      </c>
    </row>
    <row r="6" spans="1:4" ht="42.75">
      <c r="A6" s="51" t="s">
        <v>160</v>
      </c>
      <c r="B6" s="51" t="s">
        <v>161</v>
      </c>
      <c r="C6" s="52" t="s">
        <v>165</v>
      </c>
      <c r="D6" s="52" t="s">
        <v>162</v>
      </c>
    </row>
    <row r="7" spans="1:4" ht="28.5">
      <c r="A7" s="52" t="s">
        <v>163</v>
      </c>
      <c r="B7" s="51" t="s">
        <v>166</v>
      </c>
      <c r="C7" s="52" t="s">
        <v>167</v>
      </c>
      <c r="D7" s="52" t="s">
        <v>164</v>
      </c>
    </row>
    <row r="8" spans="1:4" ht="42.75">
      <c r="A8" s="51" t="s">
        <v>168</v>
      </c>
      <c r="B8" s="51" t="s">
        <v>169</v>
      </c>
      <c r="C8" s="52" t="s">
        <v>170</v>
      </c>
      <c r="D8" s="52" t="s">
        <v>171</v>
      </c>
    </row>
    <row r="9" spans="1:4" ht="42.75">
      <c r="A9" s="52" t="s">
        <v>179</v>
      </c>
      <c r="B9" s="51"/>
      <c r="C9" s="52" t="s">
        <v>174</v>
      </c>
      <c r="D9" s="52" t="s">
        <v>175</v>
      </c>
    </row>
    <row r="10" spans="1:4">
      <c r="A10" s="51" t="s">
        <v>177</v>
      </c>
      <c r="B10" s="51"/>
      <c r="C10" s="86" t="s">
        <v>176</v>
      </c>
      <c r="D10" s="51" t="s">
        <v>172</v>
      </c>
    </row>
    <row r="11" spans="1:4">
      <c r="A11" s="52" t="s">
        <v>178</v>
      </c>
      <c r="B11" s="51"/>
      <c r="C11" s="86"/>
      <c r="D11" s="51" t="s">
        <v>173</v>
      </c>
    </row>
    <row r="12" spans="1:4" ht="28.5">
      <c r="A12" s="52" t="s">
        <v>180</v>
      </c>
      <c r="B12" s="51"/>
      <c r="C12" s="53" t="s">
        <v>185</v>
      </c>
      <c r="D12" s="52" t="s">
        <v>186</v>
      </c>
    </row>
    <row r="13" spans="1:4" ht="40.5">
      <c r="A13" s="52" t="s">
        <v>181</v>
      </c>
      <c r="B13" s="51"/>
      <c r="C13" s="53" t="s">
        <v>187</v>
      </c>
      <c r="D13" s="52" t="s">
        <v>188</v>
      </c>
    </row>
    <row r="14" spans="1:4" ht="42.75">
      <c r="A14" s="52" t="s">
        <v>182</v>
      </c>
      <c r="B14" s="51"/>
      <c r="C14" s="52" t="s">
        <v>189</v>
      </c>
      <c r="D14" s="52" t="s">
        <v>190</v>
      </c>
    </row>
    <row r="15" spans="1:4" ht="42.75">
      <c r="A15" s="52" t="s">
        <v>183</v>
      </c>
      <c r="B15" s="51"/>
      <c r="C15" s="52" t="s">
        <v>191</v>
      </c>
      <c r="D15" s="52" t="s">
        <v>184</v>
      </c>
    </row>
    <row r="16" spans="1:4">
      <c r="A16" s="49"/>
    </row>
    <row r="17" spans="1:1">
      <c r="A17" s="49"/>
    </row>
    <row r="18" spans="1:1">
      <c r="A18" s="49"/>
    </row>
  </sheetData>
  <mergeCells count="1">
    <mergeCell ref="C10:C11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AEC9E4D1-C96B-49A6-8045-602CF54E1F90}">
  <ds:schemaRefs/>
</ds:datastoreItem>
</file>

<file path=customXml/itemProps2.xml><?xml version="1.0" encoding="utf-8"?>
<ds:datastoreItem xmlns:ds="http://schemas.openxmlformats.org/officeDocument/2006/customXml" ds:itemID="{BB306928-4C8F-423B-86EE-7D2313F940E1}">
  <ds:schemaRefs/>
</ds:datastoreItem>
</file>

<file path=customXml/itemProps3.xml><?xml version="1.0" encoding="utf-8"?>
<ds:datastoreItem xmlns:ds="http://schemas.openxmlformats.org/officeDocument/2006/customXml" ds:itemID="{404321ED-9D7D-40F3-9E50-5F4BF3E512D0}">
  <ds:schemaRefs/>
</ds:datastoreItem>
</file>

<file path=customXml/itemProps4.xml><?xml version="1.0" encoding="utf-8"?>
<ds:datastoreItem xmlns:ds="http://schemas.openxmlformats.org/officeDocument/2006/customXml" ds:itemID="{E78F1C8B-CFDF-4E36-B590-0D11C5FFB34D}">
  <ds:schemaRefs/>
</ds:datastoreItem>
</file>

<file path=customXml/itemProps5.xml><?xml version="1.0" encoding="utf-8"?>
<ds:datastoreItem xmlns:ds="http://schemas.openxmlformats.org/officeDocument/2006/customXml" ds:itemID="{DE8F653F-AF8A-4B11-9B88-96E7E27E445E}">
  <ds:schemaRefs/>
</ds:datastoreItem>
</file>

<file path=customXml/itemProps6.xml><?xml version="1.0" encoding="utf-8"?>
<ds:datastoreItem xmlns:ds="http://schemas.openxmlformats.org/officeDocument/2006/customXml" ds:itemID="{E4DC865D-F8AA-4CDA-8011-7243403408E2}">
  <ds:schemaRefs/>
</ds:datastoreItem>
</file>

<file path=customXml/itemProps7.xml><?xml version="1.0" encoding="utf-8"?>
<ds:datastoreItem xmlns:ds="http://schemas.openxmlformats.org/officeDocument/2006/customXml" ds:itemID="{8DCAA2F4-5CC7-40DF-B13B-EF2B12E03A83}">
  <ds:schemaRefs/>
</ds:datastoreItem>
</file>

<file path=customXml/itemProps8.xml><?xml version="1.0" encoding="utf-8"?>
<ds:datastoreItem xmlns:ds="http://schemas.openxmlformats.org/officeDocument/2006/customXml" ds:itemID="{EEDBBCFE-53AE-41AD-B603-7EE9B15B8BED}">
  <ds:schemaRefs/>
</ds:datastoreItem>
</file>

<file path=customXml/itemProps9.xml><?xml version="1.0" encoding="utf-8"?>
<ds:datastoreItem xmlns:ds="http://schemas.openxmlformats.org/officeDocument/2006/customXml" ds:itemID="{0C1632C0-67A0-46B7-80FE-97301234E79C}">
  <ds:schemaRefs/>
</ds:datastoreItem>
</file>

<file path=customXml/itemProps10.xml><?xml version="1.0" encoding="utf-8"?>
<ds:datastoreItem xmlns:ds="http://schemas.openxmlformats.org/officeDocument/2006/customXml" ds:itemID="{F6FCE8D4-E924-4D13-9909-4D67FF645921}">
  <ds:schemaRefs>
    <ds:schemaRef ds:uri="http://schemas.microsoft.com/DataMashup"/>
  </ds:schemaRefs>
</ds:datastoreItem>
</file>

<file path=customXml/itemProps11.xml><?xml version="1.0" encoding="utf-8"?>
<ds:datastoreItem xmlns:ds="http://schemas.openxmlformats.org/officeDocument/2006/customXml" ds:itemID="{8B5C8EBC-E851-4E6A-9C10-E32987E82829}">
  <ds:schemaRefs/>
</ds:datastoreItem>
</file>

<file path=customXml/itemProps12.xml><?xml version="1.0" encoding="utf-8"?>
<ds:datastoreItem xmlns:ds="http://schemas.openxmlformats.org/officeDocument/2006/customXml" ds:itemID="{6988BA22-06EA-496E-BB65-C3A0B49C415D}">
  <ds:schemaRefs/>
</ds:datastoreItem>
</file>

<file path=customXml/itemProps13.xml><?xml version="1.0" encoding="utf-8"?>
<ds:datastoreItem xmlns:ds="http://schemas.openxmlformats.org/officeDocument/2006/customXml" ds:itemID="{37931185-CC89-493A-9822-836E27CF1E63}">
  <ds:schemaRefs/>
</ds:datastoreItem>
</file>

<file path=customXml/itemProps14.xml><?xml version="1.0" encoding="utf-8"?>
<ds:datastoreItem xmlns:ds="http://schemas.openxmlformats.org/officeDocument/2006/customXml" ds:itemID="{7ED4774E-4C33-4C74-99BF-E5C777C95094}">
  <ds:schemaRefs/>
</ds:datastoreItem>
</file>

<file path=customXml/itemProps15.xml><?xml version="1.0" encoding="utf-8"?>
<ds:datastoreItem xmlns:ds="http://schemas.openxmlformats.org/officeDocument/2006/customXml" ds:itemID="{5DFD625C-8BC9-444E-AF59-03429D6CB1C5}">
  <ds:schemaRefs/>
</ds:datastoreItem>
</file>

<file path=customXml/itemProps16.xml><?xml version="1.0" encoding="utf-8"?>
<ds:datastoreItem xmlns:ds="http://schemas.openxmlformats.org/officeDocument/2006/customXml" ds:itemID="{21995709-B339-4FA4-9961-08B200DC52F0}">
  <ds:schemaRefs/>
</ds:datastoreItem>
</file>

<file path=customXml/itemProps17.xml><?xml version="1.0" encoding="utf-8"?>
<ds:datastoreItem xmlns:ds="http://schemas.openxmlformats.org/officeDocument/2006/customXml" ds:itemID="{D29DE428-C0C3-4AAB-83BF-5FB77478A55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Inputs</vt:lpstr>
      <vt:lpstr>CF_Scenarios</vt:lpstr>
      <vt:lpstr>Summary</vt:lpstr>
      <vt:lpstr>Timeline</vt:lpstr>
      <vt:lpstr>Sens_RG</vt:lpstr>
      <vt:lpstr>Sens_DT</vt:lpstr>
      <vt:lpstr>Sens_EG</vt:lpstr>
      <vt:lpstr>Sens_RR</vt:lpstr>
      <vt:lpstr>Mapping</vt:lpstr>
      <vt:lpstr>Clauses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Eilin 10</cp:lastModifiedBy>
  <dcterms:created xsi:type="dcterms:W3CDTF">2025-10-31T01:32:08Z</dcterms:created>
  <dcterms:modified xsi:type="dcterms:W3CDTF">2025-11-06T04:00:39Z</dcterms:modified>
</cp:coreProperties>
</file>