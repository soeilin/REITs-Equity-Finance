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followups\0.思维导图\4.Fin\2.GitHub\01_Earnings_Forecast_Pack\"/>
    </mc:Choice>
  </mc:AlternateContent>
  <xr:revisionPtr revIDLastSave="0" documentId="13_ncr:1_{CFD8486D-5B19-4BE6-BD3A-3139BD2A1939}" xr6:coauthVersionLast="47" xr6:coauthVersionMax="47" xr10:uidLastSave="{00000000-0000-0000-0000-000000000000}"/>
  <bookViews>
    <workbookView xWindow="38280" yWindow="-120" windowWidth="29040" windowHeight="15720" tabRatio="774" firstSheet="4" activeTab="5" xr2:uid="{00000000-000D-0000-FFFF-FFFF00000000}"/>
  </bookViews>
  <sheets>
    <sheet name="CF_Base" sheetId="5" state="hidden" r:id="rId1"/>
    <sheet name="CF_Upside" sheetId="11" state="hidden" r:id="rId2"/>
    <sheet name="CF_Downside" sheetId="12" state="hidden" r:id="rId3"/>
    <sheet name="All CF" sheetId="26" state="hidden" r:id="rId4"/>
    <sheet name="Inputs" sheetId="9" r:id="rId5"/>
    <sheet name="CF_Scenario" sheetId="3" r:id="rId6"/>
    <sheet name="Timeline" sheetId="2" state="hidden" r:id="rId7"/>
    <sheet name="Sens_RG" sheetId="19" r:id="rId8"/>
    <sheet name="Calc_Notes" sheetId="4" r:id="rId9"/>
  </sheets>
  <definedNames>
    <definedName name="_xlcn.WorksheetConnection_1_NOI_AFFO_3Scenario_Model_v1_formula.xlsxCF_Scenario" hidden="1">CF_Scenario[]</definedName>
    <definedName name="ExternalData_1" localSheetId="3" hidden="1">'All CF'!$A$1:$T$37</definedName>
  </definedNames>
  <calcPr calcId="191029"/>
  <pivotCaches>
    <pivotCache cacheId="412" r:id="rId10"/>
    <pivotCache cacheId="413" r:id="rId11"/>
  </pivotCaches>
  <extLst>
    <ext xmlns:x15="http://schemas.microsoft.com/office/spreadsheetml/2010/11/main" uri="{FCE2AD5D-F65C-4FA6-A056-5C36A1767C68}">
      <x15:dataModel>
        <x15:modelTables>
          <x15:modelTable id="CF_Scenario 1_b714ac72-0dd4-4830-89a5-5e744819ded1" name="CF_Scenario 1" connection="查询 - CF_Scenario1"/>
          <x15:modelTable id="CF_Scenario" name="CF_Scenario" connection="WorksheetConnection_1_NOI_AFFO_3Scenario_Model_v1_formula.xlsx!CF_Scenario"/>
        </x15:modelTables>
        <x15:extLst>
          <ext xmlns:x16="http://schemas.microsoft.com/office/spreadsheetml/2014/11/main" uri="{9835A34E-60A6-4A7C-AAB8-D5F71C897F49}">
            <x16:modelTimeGroupings>
              <x16:modelTimeGrouping tableName="CF_Scenario 1" columnName="Month_Start" columnId="Month_Start">
                <x16:calculatedTimeColumn columnName="Month_Start (月索引)" columnId="Month_Start (月索引)" contentType="monthsindex" isSelected="1"/>
                <x16:calculatedTimeColumn columnName="Month_Start (月)" columnId="Month_Start (月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26" i="3" l="1"/>
  <c r="AL25" i="3"/>
  <c r="AK26" i="3"/>
  <c r="AK25" i="3"/>
  <c r="AJ26" i="3"/>
  <c r="AI26" i="3"/>
  <c r="AJ25" i="3"/>
  <c r="AI25" i="3"/>
  <c r="F3" i="9"/>
  <c r="I3" i="9"/>
  <c r="K3" i="9"/>
  <c r="L3" i="9"/>
  <c r="M3" i="9"/>
  <c r="S3" i="9"/>
  <c r="V26" i="9"/>
  <c r="U26" i="9"/>
  <c r="T26" i="9"/>
  <c r="V25" i="9"/>
  <c r="U25" i="9"/>
  <c r="T25" i="9"/>
  <c r="V24" i="9"/>
  <c r="U24" i="9"/>
  <c r="T24" i="9"/>
  <c r="V23" i="9"/>
  <c r="U23" i="9"/>
  <c r="T23" i="9"/>
  <c r="V22" i="9"/>
  <c r="U22" i="9"/>
  <c r="T22" i="9"/>
  <c r="V21" i="9"/>
  <c r="U21" i="9"/>
  <c r="T21" i="9"/>
  <c r="V20" i="9"/>
  <c r="U20" i="9"/>
  <c r="T20" i="9"/>
  <c r="V19" i="9"/>
  <c r="U19" i="9"/>
  <c r="T19" i="9"/>
  <c r="V18" i="9"/>
  <c r="U18" i="9"/>
  <c r="T18" i="9"/>
  <c r="V17" i="9"/>
  <c r="U17" i="9"/>
  <c r="T17" i="9"/>
  <c r="V16" i="9"/>
  <c r="U16" i="9"/>
  <c r="T16" i="9"/>
  <c r="V15" i="9"/>
  <c r="U15" i="9"/>
  <c r="T15" i="9"/>
  <c r="V14" i="9"/>
  <c r="U14" i="9"/>
  <c r="T14" i="9"/>
  <c r="V13" i="9"/>
  <c r="U13" i="9"/>
  <c r="T13" i="9"/>
  <c r="V12" i="9"/>
  <c r="U12" i="9"/>
  <c r="T12" i="9"/>
  <c r="V11" i="9"/>
  <c r="U11" i="9"/>
  <c r="T11" i="9"/>
  <c r="S12" i="9"/>
  <c r="S13" i="9"/>
  <c r="S14" i="9"/>
  <c r="S15" i="9"/>
  <c r="S16" i="9"/>
  <c r="S17" i="9"/>
  <c r="S18" i="9"/>
  <c r="S19" i="9"/>
  <c r="S20" i="9"/>
  <c r="S21" i="9"/>
  <c r="S22" i="9"/>
  <c r="S23" i="9"/>
  <c r="S11" i="9"/>
  <c r="R26" i="9"/>
  <c r="Q26" i="9"/>
  <c r="P26" i="9"/>
  <c r="O26" i="9"/>
  <c r="N26" i="9"/>
  <c r="R25" i="9"/>
  <c r="Q25" i="9"/>
  <c r="P25" i="9"/>
  <c r="O25" i="9"/>
  <c r="N25" i="9"/>
  <c r="R24" i="9"/>
  <c r="Q24" i="9"/>
  <c r="P24" i="9"/>
  <c r="O24" i="9"/>
  <c r="N24" i="9"/>
  <c r="R23" i="9"/>
  <c r="Q23" i="9"/>
  <c r="P23" i="9"/>
  <c r="O23" i="9"/>
  <c r="N23" i="9"/>
  <c r="R22" i="9"/>
  <c r="Q22" i="9"/>
  <c r="P22" i="9"/>
  <c r="O22" i="9"/>
  <c r="N22" i="9"/>
  <c r="R21" i="9"/>
  <c r="Q21" i="9"/>
  <c r="P21" i="9"/>
  <c r="O21" i="9"/>
  <c r="N21" i="9"/>
  <c r="R20" i="9"/>
  <c r="Q20" i="9"/>
  <c r="P20" i="9"/>
  <c r="O20" i="9"/>
  <c r="N20" i="9"/>
  <c r="R19" i="9"/>
  <c r="Q19" i="9"/>
  <c r="P19" i="9"/>
  <c r="O19" i="9"/>
  <c r="N19" i="9"/>
  <c r="R18" i="9"/>
  <c r="Q18" i="9"/>
  <c r="P18" i="9"/>
  <c r="O18" i="9"/>
  <c r="N18" i="9"/>
  <c r="R17" i="9"/>
  <c r="Q17" i="9"/>
  <c r="P17" i="9"/>
  <c r="O17" i="9"/>
  <c r="N17" i="9"/>
  <c r="R16" i="9"/>
  <c r="Q16" i="9"/>
  <c r="P16" i="9"/>
  <c r="O16" i="9"/>
  <c r="N16" i="9"/>
  <c r="R15" i="9"/>
  <c r="Q15" i="9"/>
  <c r="P15" i="9"/>
  <c r="O15" i="9"/>
  <c r="N15" i="9"/>
  <c r="R14" i="9"/>
  <c r="Q14" i="9"/>
  <c r="P14" i="9"/>
  <c r="O14" i="9"/>
  <c r="N14" i="9"/>
  <c r="R13" i="9"/>
  <c r="Q13" i="9"/>
  <c r="P13" i="9"/>
  <c r="O13" i="9"/>
  <c r="N13" i="9"/>
  <c r="R12" i="9"/>
  <c r="Q12" i="9"/>
  <c r="P12" i="9"/>
  <c r="O12" i="9"/>
  <c r="N12" i="9"/>
  <c r="R11" i="9"/>
  <c r="Q11" i="9"/>
  <c r="P11" i="9"/>
  <c r="O11" i="9"/>
  <c r="N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11" i="9"/>
  <c r="K26" i="9"/>
  <c r="K25" i="9"/>
  <c r="K24" i="9"/>
  <c r="K12" i="9"/>
  <c r="K13" i="9"/>
  <c r="K14" i="9"/>
  <c r="K15" i="9"/>
  <c r="K16" i="9"/>
  <c r="K17" i="9"/>
  <c r="K18" i="9"/>
  <c r="K19" i="9"/>
  <c r="K20" i="9"/>
  <c r="K11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I26" i="9"/>
  <c r="I25" i="9"/>
  <c r="I24" i="9"/>
  <c r="I23" i="9"/>
  <c r="I22" i="9"/>
  <c r="I21" i="9"/>
  <c r="I12" i="9"/>
  <c r="I13" i="9"/>
  <c r="I14" i="9"/>
  <c r="I15" i="9"/>
  <c r="I16" i="9"/>
  <c r="H26" i="9"/>
  <c r="G26" i="9"/>
  <c r="H25" i="9"/>
  <c r="G25" i="9"/>
  <c r="H24" i="9"/>
  <c r="G24" i="9"/>
  <c r="H23" i="9"/>
  <c r="G23" i="9"/>
  <c r="H22" i="9"/>
  <c r="G22" i="9"/>
  <c r="H21" i="9"/>
  <c r="G21" i="9"/>
  <c r="H20" i="9"/>
  <c r="G20" i="9"/>
  <c r="H19" i="9"/>
  <c r="G19" i="9"/>
  <c r="H18" i="9"/>
  <c r="G18" i="9"/>
  <c r="H17" i="9"/>
  <c r="G17" i="9"/>
  <c r="H16" i="9"/>
  <c r="G16" i="9"/>
  <c r="H15" i="9"/>
  <c r="G15" i="9"/>
  <c r="H14" i="9"/>
  <c r="G14" i="9"/>
  <c r="H13" i="9"/>
  <c r="G13" i="9"/>
  <c r="H12" i="9"/>
  <c r="G12" i="9"/>
  <c r="H11" i="9"/>
  <c r="G11" i="9"/>
  <c r="F18" i="9"/>
  <c r="F19" i="9"/>
  <c r="F20" i="9"/>
  <c r="F21" i="9"/>
  <c r="F22" i="9"/>
  <c r="F23" i="9"/>
  <c r="F24" i="9"/>
  <c r="F25" i="9"/>
  <c r="F26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11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T7" i="9"/>
  <c r="T3" i="9" s="1"/>
  <c r="U7" i="9"/>
  <c r="U3" i="9" s="1"/>
  <c r="V7" i="9"/>
  <c r="V3" i="9" s="1"/>
  <c r="V6" i="9"/>
  <c r="U6" i="9"/>
  <c r="T6" i="9"/>
  <c r="N7" i="9"/>
  <c r="N3" i="9" s="1"/>
  <c r="O7" i="9"/>
  <c r="O3" i="9" s="1"/>
  <c r="P7" i="9"/>
  <c r="P3" i="9" s="1"/>
  <c r="Q7" i="9"/>
  <c r="Q3" i="9" s="1"/>
  <c r="R7" i="9"/>
  <c r="R3" i="9" s="1"/>
  <c r="R6" i="9"/>
  <c r="Q6" i="9"/>
  <c r="P6" i="9"/>
  <c r="O6" i="9"/>
  <c r="N6" i="9"/>
  <c r="J7" i="9"/>
  <c r="J3" i="9" s="1"/>
  <c r="J6" i="9"/>
  <c r="H7" i="9"/>
  <c r="H3" i="9" s="1"/>
  <c r="H6" i="9"/>
  <c r="G7" i="9"/>
  <c r="G3" i="9" s="1"/>
  <c r="G6" i="9"/>
  <c r="E7" i="9"/>
  <c r="E3" i="9" s="1"/>
  <c r="E6" i="9"/>
  <c r="D7" i="9"/>
  <c r="D3" i="9" s="1"/>
  <c r="D6" i="9"/>
  <c r="C7" i="9"/>
  <c r="C3" i="9" s="1"/>
  <c r="C6" i="9"/>
  <c r="B7" i="9"/>
  <c r="B3" i="9" s="1"/>
  <c r="B6" i="9"/>
  <c r="I11" i="9"/>
  <c r="F17" i="9"/>
  <c r="A3" i="3"/>
  <c r="A4" i="3"/>
  <c r="A5" i="3"/>
  <c r="A6" i="3"/>
  <c r="A7" i="3"/>
  <c r="A8" i="3"/>
  <c r="A9" i="3"/>
  <c r="A10" i="3"/>
  <c r="A11" i="3"/>
  <c r="A12" i="3"/>
  <c r="A13" i="3"/>
  <c r="A2" i="3"/>
  <c r="E6" i="19" l="1"/>
  <c r="E7" i="19"/>
  <c r="E8" i="19"/>
  <c r="E9" i="19"/>
  <c r="E10" i="19"/>
  <c r="E5" i="19"/>
  <c r="D6" i="19"/>
  <c r="D7" i="19"/>
  <c r="D8" i="19"/>
  <c r="D9" i="19"/>
  <c r="D10" i="19"/>
  <c r="D5" i="19"/>
  <c r="M13" i="12"/>
  <c r="L13" i="12"/>
  <c r="A13" i="12"/>
  <c r="M12" i="12"/>
  <c r="L12" i="12"/>
  <c r="A12" i="12"/>
  <c r="M11" i="12"/>
  <c r="L11" i="12"/>
  <c r="A11" i="12"/>
  <c r="M10" i="12"/>
  <c r="L10" i="12"/>
  <c r="A10" i="12"/>
  <c r="M9" i="12"/>
  <c r="L9" i="12"/>
  <c r="A9" i="12"/>
  <c r="M8" i="12"/>
  <c r="L8" i="12"/>
  <c r="A8" i="12"/>
  <c r="M7" i="12"/>
  <c r="L7" i="12"/>
  <c r="A7" i="12"/>
  <c r="M6" i="12"/>
  <c r="L6" i="12"/>
  <c r="A6" i="12"/>
  <c r="M5" i="12"/>
  <c r="L5" i="12"/>
  <c r="A5" i="12"/>
  <c r="M4" i="12"/>
  <c r="L4" i="12"/>
  <c r="A4" i="12"/>
  <c r="M3" i="12"/>
  <c r="L3" i="12"/>
  <c r="A3" i="12"/>
  <c r="M2" i="12"/>
  <c r="L2" i="12"/>
  <c r="A2" i="12"/>
  <c r="A13" i="11"/>
  <c r="A12" i="11"/>
  <c r="A11" i="11"/>
  <c r="A10" i="11"/>
  <c r="A9" i="11"/>
  <c r="A8" i="11"/>
  <c r="A7" i="11"/>
  <c r="A6" i="11"/>
  <c r="A5" i="11"/>
  <c r="A4" i="11"/>
  <c r="A3" i="11"/>
  <c r="M14" i="11"/>
  <c r="L14" i="11"/>
  <c r="A2" i="11"/>
  <c r="A13" i="5"/>
  <c r="A12" i="5"/>
  <c r="A11" i="5"/>
  <c r="A10" i="5"/>
  <c r="A9" i="5"/>
  <c r="A8" i="5"/>
  <c r="A7" i="5"/>
  <c r="A6" i="5"/>
  <c r="A5" i="5"/>
  <c r="A4" i="5"/>
  <c r="A3" i="5"/>
  <c r="O14" i="5"/>
  <c r="M14" i="5"/>
  <c r="L14" i="5"/>
  <c r="A2" i="5"/>
  <c r="B3" i="2"/>
  <c r="C3" i="3" s="1"/>
  <c r="B4" i="2"/>
  <c r="C4" i="3" s="1"/>
  <c r="B5" i="2"/>
  <c r="C5" i="3" s="1"/>
  <c r="B6" i="2"/>
  <c r="C6" i="3" s="1"/>
  <c r="B7" i="2"/>
  <c r="C7" i="3" s="1"/>
  <c r="B8" i="2"/>
  <c r="C8" i="3" s="1"/>
  <c r="B9" i="2"/>
  <c r="C9" i="3" s="1"/>
  <c r="B10" i="2"/>
  <c r="C10" i="3" s="1"/>
  <c r="B11" i="2"/>
  <c r="C11" i="3" s="1"/>
  <c r="B12" i="2"/>
  <c r="C12" i="3" s="1"/>
  <c r="B13" i="2"/>
  <c r="C13" i="3" s="1"/>
  <c r="B2" i="2"/>
  <c r="C2" i="3" s="1"/>
  <c r="B13" i="3"/>
  <c r="B12" i="3"/>
  <c r="B11" i="3"/>
  <c r="B10" i="3"/>
  <c r="B9" i="3"/>
  <c r="B8" i="3"/>
  <c r="B7" i="3"/>
  <c r="B6" i="3"/>
  <c r="B5" i="3"/>
  <c r="B4" i="3"/>
  <c r="B3" i="3"/>
  <c r="B2" i="3"/>
  <c r="D6" i="3" l="1"/>
  <c r="B3" i="12"/>
  <c r="B2" i="11"/>
  <c r="B9" i="11"/>
  <c r="B10" i="11"/>
  <c r="B4" i="12"/>
  <c r="B8" i="12"/>
  <c r="B12" i="12"/>
  <c r="B3" i="11"/>
  <c r="B11" i="11"/>
  <c r="B7" i="12"/>
  <c r="B4" i="11"/>
  <c r="B12" i="11"/>
  <c r="B5" i="12"/>
  <c r="B9" i="12"/>
  <c r="B13" i="12"/>
  <c r="B11" i="12"/>
  <c r="B8" i="11"/>
  <c r="B5" i="11"/>
  <c r="B13" i="11"/>
  <c r="B6" i="11"/>
  <c r="B2" i="12"/>
  <c r="B6" i="12"/>
  <c r="B10" i="12"/>
  <c r="L14" i="12"/>
  <c r="B7" i="11"/>
  <c r="M14" i="12"/>
  <c r="G5" i="12"/>
  <c r="H5" i="12" s="1"/>
  <c r="D8" i="12"/>
  <c r="G2" i="12"/>
  <c r="H2" i="12" s="1"/>
  <c r="O8" i="12"/>
  <c r="O5" i="12"/>
  <c r="G9" i="12"/>
  <c r="H9" i="12" s="1"/>
  <c r="D11" i="12"/>
  <c r="D12" i="12"/>
  <c r="G6" i="12"/>
  <c r="H6" i="12" s="1"/>
  <c r="G3" i="12"/>
  <c r="H3" i="12" s="1"/>
  <c r="O11" i="12"/>
  <c r="O2" i="12"/>
  <c r="O12" i="12"/>
  <c r="O4" i="12"/>
  <c r="G13" i="12"/>
  <c r="H13" i="12" s="1"/>
  <c r="O6" i="12"/>
  <c r="G10" i="12"/>
  <c r="H10" i="12" s="1"/>
  <c r="O10" i="12"/>
  <c r="O7" i="12"/>
  <c r="O9" i="12"/>
  <c r="O3" i="12"/>
  <c r="G7" i="12"/>
  <c r="H7" i="12" s="1"/>
  <c r="G4" i="12"/>
  <c r="H4" i="12" s="1"/>
  <c r="O13" i="12"/>
  <c r="C12" i="12"/>
  <c r="C4" i="12"/>
  <c r="C7" i="12"/>
  <c r="C8" i="12"/>
  <c r="C13" i="12"/>
  <c r="D4" i="12"/>
  <c r="D7" i="12"/>
  <c r="D9" i="12"/>
  <c r="D13" i="12"/>
  <c r="E3" i="12"/>
  <c r="E4" i="12"/>
  <c r="E5" i="12"/>
  <c r="E6" i="12"/>
  <c r="E7" i="12"/>
  <c r="E8" i="12"/>
  <c r="E9" i="12"/>
  <c r="E10" i="12"/>
  <c r="E11" i="12"/>
  <c r="E12" i="12"/>
  <c r="E13" i="12"/>
  <c r="C10" i="12"/>
  <c r="D3" i="12"/>
  <c r="D10" i="12"/>
  <c r="G11" i="12"/>
  <c r="H11" i="12" s="1"/>
  <c r="C3" i="12"/>
  <c r="C11" i="12"/>
  <c r="D6" i="12"/>
  <c r="G8" i="12"/>
  <c r="H8" i="12" s="1"/>
  <c r="G12" i="12"/>
  <c r="H12" i="12" s="1"/>
  <c r="C2" i="12"/>
  <c r="C5" i="12"/>
  <c r="C6" i="12"/>
  <c r="C9" i="12"/>
  <c r="D2" i="12"/>
  <c r="D5" i="12"/>
  <c r="E2" i="12"/>
  <c r="E13" i="3"/>
  <c r="E10" i="3"/>
  <c r="D4" i="3"/>
  <c r="E7" i="3"/>
  <c r="E6" i="3"/>
  <c r="E2" i="3"/>
  <c r="E12" i="3"/>
  <c r="E9" i="3"/>
  <c r="D12" i="3"/>
  <c r="E5" i="3"/>
  <c r="D5" i="3"/>
  <c r="D3" i="3"/>
  <c r="E11" i="3"/>
  <c r="D2" i="3"/>
  <c r="E8" i="3"/>
  <c r="D10" i="3"/>
  <c r="D9" i="3"/>
  <c r="E4" i="3"/>
  <c r="D7" i="3"/>
  <c r="E3" i="3"/>
  <c r="D13" i="3"/>
  <c r="D11" i="3"/>
  <c r="D8" i="3"/>
  <c r="B11" i="5"/>
  <c r="B3" i="5"/>
  <c r="B6" i="5"/>
  <c r="B7" i="5"/>
  <c r="B8" i="5"/>
  <c r="B2" i="5"/>
  <c r="B9" i="5"/>
  <c r="B10" i="5"/>
  <c r="B4" i="5"/>
  <c r="B12" i="5"/>
  <c r="B5" i="5"/>
  <c r="B13" i="5"/>
  <c r="H14" i="5"/>
  <c r="O14" i="12" l="1"/>
  <c r="H14" i="12"/>
  <c r="I5" i="12"/>
  <c r="F5" i="12"/>
  <c r="I3" i="12"/>
  <c r="F3" i="12"/>
  <c r="I10" i="12"/>
  <c r="F10" i="12"/>
  <c r="I13" i="12"/>
  <c r="F13" i="12"/>
  <c r="I2" i="12"/>
  <c r="F2" i="12"/>
  <c r="I11" i="12"/>
  <c r="F11" i="12"/>
  <c r="I8" i="12"/>
  <c r="F8" i="12"/>
  <c r="I7" i="12"/>
  <c r="F7" i="12"/>
  <c r="I4" i="12"/>
  <c r="F4" i="12"/>
  <c r="I9" i="12"/>
  <c r="F9" i="12"/>
  <c r="I12" i="12"/>
  <c r="F12" i="12"/>
  <c r="I6" i="12"/>
  <c r="F6" i="12"/>
  <c r="P14" i="3"/>
  <c r="O14" i="11"/>
  <c r="H14" i="11"/>
  <c r="J8" i="12" l="1"/>
  <c r="K8" i="12" s="1"/>
  <c r="N8" i="12" s="1"/>
  <c r="P8" i="12" s="1"/>
  <c r="J2" i="12"/>
  <c r="K2" i="12" s="1"/>
  <c r="F14" i="12"/>
  <c r="J13" i="12"/>
  <c r="K13" i="12" s="1"/>
  <c r="N13" i="12" s="1"/>
  <c r="P13" i="12" s="1"/>
  <c r="J10" i="12"/>
  <c r="K10" i="12" s="1"/>
  <c r="N10" i="12" s="1"/>
  <c r="P10" i="12" s="1"/>
  <c r="J7" i="12"/>
  <c r="K7" i="12" s="1"/>
  <c r="N7" i="12" s="1"/>
  <c r="P7" i="12" s="1"/>
  <c r="J3" i="12"/>
  <c r="K3" i="12" s="1"/>
  <c r="N3" i="12" s="1"/>
  <c r="P3" i="12" s="1"/>
  <c r="I14" i="12"/>
  <c r="J11" i="12"/>
  <c r="K11" i="12" s="1"/>
  <c r="N11" i="12" s="1"/>
  <c r="P11" i="12" s="1"/>
  <c r="J6" i="12"/>
  <c r="K6" i="12" s="1"/>
  <c r="N6" i="12" s="1"/>
  <c r="P6" i="12" s="1"/>
  <c r="J12" i="12"/>
  <c r="K12" i="12" s="1"/>
  <c r="N12" i="12" s="1"/>
  <c r="P12" i="12" s="1"/>
  <c r="J4" i="12"/>
  <c r="K4" i="12" s="1"/>
  <c r="N4" i="12" s="1"/>
  <c r="P4" i="12" s="1"/>
  <c r="J5" i="12"/>
  <c r="K5" i="12" s="1"/>
  <c r="N5" i="12" s="1"/>
  <c r="P5" i="12" s="1"/>
  <c r="J9" i="12"/>
  <c r="K9" i="12" s="1"/>
  <c r="N9" i="12" s="1"/>
  <c r="P9" i="12" s="1"/>
  <c r="F14" i="11"/>
  <c r="I14" i="11"/>
  <c r="F14" i="5"/>
  <c r="I14" i="5"/>
  <c r="N14" i="3"/>
  <c r="M14" i="3"/>
  <c r="N2" i="12" l="1"/>
  <c r="K14" i="12"/>
  <c r="J14" i="12"/>
  <c r="K14" i="11"/>
  <c r="J14" i="11"/>
  <c r="K14" i="5"/>
  <c r="J14" i="5"/>
  <c r="I14" i="3"/>
  <c r="J14" i="3"/>
  <c r="G14" i="3"/>
  <c r="N14" i="12" l="1"/>
  <c r="P2" i="12"/>
  <c r="P14" i="12" s="1"/>
  <c r="N14" i="11"/>
  <c r="P14" i="11"/>
  <c r="N14" i="5"/>
  <c r="P14" i="5"/>
  <c r="K14" i="3"/>
  <c r="L14" i="3" l="1"/>
  <c r="O14" i="3"/>
  <c r="Q1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FABAC68-2979-4B57-8624-E2B03B157863}" keepAlive="1" name="ModelConnection_ExternalData_1" description="数据模型" type="5" refreshedVersion="8" minRefreshableVersion="5" saveData="1">
    <dbPr connection="Data Model Connection" command="CF_Scenario 1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1C814207-C6F1-41E8-9598-375BD1289CC7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0EF67FE5-4A74-405B-AB5F-F7B8BB118396}" name="WorksheetConnection_1_NOI_AFFO_3Scenario_Model_v1_formula.xlsx!CF_Scenario" type="102" refreshedVersion="8" minRefreshableVersion="5">
    <extLst>
      <ext xmlns:x15="http://schemas.microsoft.com/office/spreadsheetml/2010/11/main" uri="{DE250136-89BD-433C-8126-D09CA5730AF9}">
        <x15:connection id="CF_Scenario">
          <x15:rangePr sourceName="_xlcn.WorksheetConnection_1_NOI_AFFO_3Scenario_Model_v1_formula.xlsxCF_Scenario"/>
        </x15:connection>
      </ext>
    </extLst>
  </connection>
  <connection id="4" xr16:uid="{182BD102-7377-4AB0-BE2E-EF92CFB3C4D2}" keepAlive="1" name="查询 - CF_Base" description="与工作簿中“CF_Base”查询的连接。" type="5" refreshedVersion="0" background="1">
    <dbPr connection="Provider=Microsoft.Mashup.OleDb.1;Data Source=$Workbook$;Location=CF_Base;Extended Properties=&quot;&quot;" command="SELECT * FROM [CF_Base]"/>
  </connection>
  <connection id="5" xr16:uid="{BF2A0669-CCC3-4AED-B9B9-ED081C980D67}" keepAlive="1" name="查询 - CF_Downside" description="与工作簿中“CF_Downside”查询的连接。" type="5" refreshedVersion="8" background="1" saveData="1">
    <dbPr connection="Provider=Microsoft.Mashup.OleDb.1;Data Source=$Workbook$;Location=CF_Downside;Extended Properties=&quot;&quot;" command="SELECT * FROM [CF_Downside]"/>
  </connection>
  <connection id="6" xr16:uid="{90AFCC5B-05C8-4E45-AFAE-5512A41E734E}" name="查询 - CF_Scenario1" description="与工作簿中“CF_Scenario”查询的连接。" type="100" refreshedVersion="8" minRefreshableVersion="5">
    <extLst>
      <ext xmlns:x15="http://schemas.microsoft.com/office/spreadsheetml/2010/11/main" uri="{DE250136-89BD-433C-8126-D09CA5730AF9}">
        <x15:connection id="74ebeee3-e710-4b09-bd80-cf48d9cf2696"/>
      </ext>
    </extLst>
  </connection>
  <connection id="7" xr16:uid="{2061DA52-A5DB-4ED0-99D5-4A11E5138824}" keepAlive="1" name="查询 - CF_Upside" description="与工作簿中“CF_Upside”查询的连接。" type="5" refreshedVersion="0" background="1">
    <dbPr connection="Provider=Microsoft.Mashup.OleDb.1;Data Source=$Workbook$;Location=CF_Upside;Extended Properties=&quot;&quot;" command="SELECT * FROM [CF_Upside]"/>
  </connection>
</connections>
</file>

<file path=xl/sharedStrings.xml><?xml version="1.0" encoding="utf-8"?>
<sst xmlns="http://schemas.openxmlformats.org/spreadsheetml/2006/main" count="432" uniqueCount="147">
  <si>
    <t>Analysis_Start</t>
  </si>
  <si>
    <t>Analysis_Months</t>
  </si>
  <si>
    <t>GLA_sqft</t>
  </si>
  <si>
    <t>Base_Rent_psf_pa</t>
  </si>
  <si>
    <t>Annual_Rent_Growth_pct</t>
  </si>
  <si>
    <t>Free_Rent_Months</t>
  </si>
  <si>
    <t>Lease_Term_Months</t>
  </si>
  <si>
    <t>Downtime_Months</t>
  </si>
  <si>
    <t>Expense_Base_psf_pa</t>
  </si>
  <si>
    <t>Expense_Growth_pct</t>
  </si>
  <si>
    <t>CAM_Recovery_pct</t>
  </si>
  <si>
    <t>Bad_Debt_pct_of_Rent</t>
  </si>
  <si>
    <t>TI_psf</t>
  </si>
  <si>
    <t>TI($/psf)</t>
  </si>
  <si>
    <t>LC_pct_of_Year1_Rent</t>
  </si>
  <si>
    <t>TI_Amort_Years</t>
  </si>
  <si>
    <t>LC_Amort_Years</t>
  </si>
  <si>
    <t>Debt_Balance</t>
  </si>
  <si>
    <t>Reference_Rate_pct</t>
  </si>
  <si>
    <t>Spread_pct</t>
  </si>
  <si>
    <t>Hedge_pct_of_Debt</t>
  </si>
  <si>
    <t>Hedge_Fixed_Rate_pct</t>
  </si>
  <si>
    <t>Month_Index</t>
  </si>
  <si>
    <t>Month_Start</t>
  </si>
  <si>
    <t>Occupied</t>
  </si>
  <si>
    <t>FreeRent</t>
  </si>
  <si>
    <t>Rent_psf_pa</t>
  </si>
  <si>
    <t>Base_Rent</t>
  </si>
  <si>
    <t>Expense_psf_pa</t>
  </si>
  <si>
    <t>OpEx</t>
  </si>
  <si>
    <t>Recoveries</t>
  </si>
  <si>
    <t>Bad_Debt</t>
  </si>
  <si>
    <t>NOI_pre_Amort</t>
  </si>
  <si>
    <t>TI_Amort</t>
  </si>
  <si>
    <t>LC_Amort</t>
  </si>
  <si>
    <t>NOI</t>
  </si>
  <si>
    <t>Interest_Expense</t>
  </si>
  <si>
    <t>AFFO</t>
  </si>
  <si>
    <t>Totals</t>
  </si>
  <si>
    <t>Occupied*(1-FreeRent)*(Rent_psf_pa/12)*GLA_sqft</t>
  </si>
  <si>
    <t>(Expense_psf_pa/12)*GLA_sqft</t>
  </si>
  <si>
    <t>-(Base_Rent+Recoveries)*Bad_Debt_pct_of_Rent</t>
  </si>
  <si>
    <t>Base_Rent + Recoveries + Bad_Debt - OpEx</t>
  </si>
  <si>
    <t>NOI_pre_Amort + TI_Amort + LC_Amort</t>
  </si>
  <si>
    <t>NOI + Interest_Expense</t>
  </si>
  <si>
    <r>
      <rPr>
        <b/>
        <sz val="11"/>
        <color theme="1"/>
        <rFont val="宋体"/>
        <family val="2"/>
      </rPr>
      <t>字段</t>
    </r>
    <r>
      <rPr>
        <b/>
        <sz val="11"/>
        <color theme="1"/>
        <rFont val="Calibri"/>
        <family val="2"/>
      </rPr>
      <t>/</t>
    </r>
    <r>
      <rPr>
        <b/>
        <sz val="11"/>
        <color theme="1"/>
        <rFont val="宋体"/>
        <family val="2"/>
      </rPr>
      <t>公式</t>
    </r>
  </si>
  <si>
    <r>
      <rPr>
        <b/>
        <sz val="11"/>
        <color theme="1"/>
        <rFont val="宋体"/>
        <family val="2"/>
      </rPr>
      <t>说明</t>
    </r>
  </si>
  <si>
    <t>Month_Index&gt;=Downtime+1, Month_Index&lt;=Downtime+Lease_Term</t>
    <phoneticPr fontId="1" type="noConversion"/>
  </si>
  <si>
    <t>Month_Index&gt;=Downtime+1, Month_Index&lt;=Downtime+Free_Rent</t>
    <phoneticPr fontId="1" type="noConversion"/>
  </si>
  <si>
    <t>Monthly compounding annual rent growth</t>
  </si>
  <si>
    <t>Monthly compounding Expense_Base_psf_pa</t>
    <phoneticPr fontId="1" type="noConversion"/>
  </si>
  <si>
    <t>Occupied OpEx with CAM_Recovery</t>
    <phoneticPr fontId="1" type="noConversion"/>
  </si>
  <si>
    <r>
      <rPr>
        <sz val="11"/>
        <color theme="1"/>
        <rFont val="宋体"/>
        <family val="2"/>
      </rPr>
      <t>文本</t>
    </r>
    <r>
      <rPr>
        <sz val="11"/>
        <color theme="1"/>
        <rFont val="Calibri"/>
        <family val="2"/>
      </rPr>
      <t>/</t>
    </r>
    <r>
      <rPr>
        <sz val="11"/>
        <color theme="1"/>
        <rFont val="宋体"/>
        <family val="2"/>
      </rPr>
      <t>标识</t>
    </r>
  </si>
  <si>
    <r>
      <rPr>
        <sz val="11"/>
        <color theme="1"/>
        <rFont val="宋体"/>
        <family val="2"/>
      </rPr>
      <t>分析起始日</t>
    </r>
  </si>
  <si>
    <r>
      <rPr>
        <sz val="11"/>
        <color theme="1"/>
        <rFont val="宋体"/>
        <family val="2"/>
      </rPr>
      <t>分析月数</t>
    </r>
  </si>
  <si>
    <r>
      <t>GLA(</t>
    </r>
    <r>
      <rPr>
        <sz val="11"/>
        <color theme="1"/>
        <rFont val="宋体"/>
        <family val="2"/>
      </rPr>
      <t>平方英尺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</si>
  <si>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首年租金</t>
    </r>
    <r>
      <rPr>
        <sz val="11"/>
        <color theme="1"/>
        <rFont val="Calibri"/>
        <family val="2"/>
      </rPr>
      <t>($/psf/</t>
    </r>
    <r>
      <rPr>
        <sz val="11"/>
        <color theme="1"/>
        <rFont val="宋体"/>
        <family val="2"/>
      </rPr>
      <t>年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</si>
  <si>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租金年增长率</t>
    </r>
  </si>
  <si>
    <r>
      <rPr>
        <sz val="11"/>
        <color theme="1"/>
        <rFont val="宋体"/>
        <family val="2"/>
      </rPr>
      <t>免租</t>
    </r>
    <r>
      <rPr>
        <sz val="11"/>
        <color theme="1"/>
        <rFont val="Calibri"/>
        <family val="2"/>
      </rPr>
      <t>(</t>
    </r>
    <r>
      <rPr>
        <sz val="11"/>
        <color theme="1"/>
        <rFont val="宋体"/>
        <family val="2"/>
      </rPr>
      <t>月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</si>
  <si>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租期</t>
    </r>
    <r>
      <rPr>
        <sz val="11"/>
        <color theme="1"/>
        <rFont val="Calibri"/>
        <family val="2"/>
      </rPr>
      <t>(</t>
    </r>
    <r>
      <rPr>
        <sz val="11"/>
        <color theme="1"/>
        <rFont val="宋体"/>
        <family val="2"/>
      </rPr>
      <t>月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</si>
  <si>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起租前空置</t>
    </r>
    <r>
      <rPr>
        <sz val="11"/>
        <color theme="1"/>
        <rFont val="Calibri"/>
        <family val="2"/>
      </rPr>
      <t>(</t>
    </r>
    <r>
      <rPr>
        <sz val="11"/>
        <color theme="1"/>
        <rFont val="宋体"/>
        <family val="2"/>
      </rPr>
      <t>月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</si>
  <si>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费用基准</t>
    </r>
    <r>
      <rPr>
        <sz val="11"/>
        <color theme="1"/>
        <rFont val="Calibri"/>
        <family val="2"/>
      </rPr>
      <t>($/psf/</t>
    </r>
    <r>
      <rPr>
        <sz val="11"/>
        <color theme="1"/>
        <rFont val="宋体"/>
        <family val="2"/>
      </rPr>
      <t>年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</si>
  <si>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费用年增长率</t>
    </r>
  </si>
  <si>
    <r>
      <rPr>
        <sz val="11"/>
        <color theme="1"/>
        <rFont val="宋体"/>
        <family val="2"/>
      </rPr>
      <t>可回收比例</t>
    </r>
  </si>
  <si>
    <r>
      <rPr>
        <sz val="11"/>
        <color theme="1"/>
        <rFont val="宋体"/>
        <family val="2"/>
      </rPr>
      <t>坏账率</t>
    </r>
    <r>
      <rPr>
        <sz val="11"/>
        <color theme="1"/>
        <rFont val="Calibri"/>
        <family val="2"/>
      </rPr>
      <t>(</t>
    </r>
    <r>
      <rPr>
        <sz val="11"/>
        <color theme="1"/>
        <rFont val="宋体"/>
        <family val="2"/>
      </rPr>
      <t>对租金</t>
    </r>
    <r>
      <rPr>
        <sz val="11"/>
        <color theme="1"/>
        <rFont val="Calibri"/>
        <family val="2"/>
      </rPr>
      <t>+Recoveries)</t>
    </r>
  </si>
  <si>
    <r>
      <t>LC(</t>
    </r>
    <r>
      <rPr>
        <sz val="11"/>
        <color theme="1"/>
        <rFont val="宋体"/>
        <family val="2"/>
      </rPr>
      <t>首年租金</t>
    </r>
    <r>
      <rPr>
        <sz val="11"/>
        <color theme="1"/>
        <rFont val="Calibri"/>
        <family val="2"/>
      </rPr>
      <t>%)</t>
    </r>
  </si>
  <si>
    <r>
      <t>TI</t>
    </r>
    <r>
      <rPr>
        <sz val="11"/>
        <color theme="1"/>
        <rFont val="宋体"/>
        <family val="2"/>
      </rPr>
      <t>摊销</t>
    </r>
    <r>
      <rPr>
        <sz val="11"/>
        <color theme="1"/>
        <rFont val="Calibri"/>
        <family val="2"/>
      </rPr>
      <t>(</t>
    </r>
    <r>
      <rPr>
        <sz val="11"/>
        <color theme="1"/>
        <rFont val="宋体"/>
        <family val="2"/>
      </rPr>
      <t>年</t>
    </r>
    <r>
      <rPr>
        <sz val="11"/>
        <color theme="1"/>
        <rFont val="Calibri"/>
        <family val="2"/>
      </rPr>
      <t>)</t>
    </r>
  </si>
  <si>
    <r>
      <t>LC</t>
    </r>
    <r>
      <rPr>
        <sz val="11"/>
        <color theme="1"/>
        <rFont val="宋体"/>
        <family val="2"/>
      </rPr>
      <t>摊销</t>
    </r>
    <r>
      <rPr>
        <sz val="11"/>
        <color theme="1"/>
        <rFont val="Calibri"/>
        <family val="2"/>
      </rPr>
      <t>(</t>
    </r>
    <r>
      <rPr>
        <sz val="11"/>
        <color theme="1"/>
        <rFont val="宋体"/>
        <family val="2"/>
      </rPr>
      <t>年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</si>
  <si>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债务余额</t>
    </r>
  </si>
  <si>
    <r>
      <rPr>
        <sz val="11"/>
        <color theme="1"/>
        <rFont val="宋体"/>
        <family val="2"/>
      </rPr>
      <t>参考利率</t>
    </r>
  </si>
  <si>
    <r>
      <rPr>
        <sz val="11"/>
        <color theme="1"/>
        <rFont val="宋体"/>
        <family val="2"/>
      </rPr>
      <t>利差</t>
    </r>
  </si>
  <si>
    <r>
      <rPr>
        <sz val="11"/>
        <color theme="1"/>
        <rFont val="宋体"/>
        <family val="2"/>
      </rPr>
      <t>对冲比例</t>
    </r>
  </si>
  <si>
    <r>
      <rPr>
        <sz val="11"/>
        <color theme="1"/>
        <rFont val="宋体"/>
        <family val="2"/>
      </rPr>
      <t>对冲固定利率</t>
    </r>
  </si>
  <si>
    <t>only for TI_Amort_Years, evenly amortized</t>
    <phoneticPr fontId="1" type="noConversion"/>
  </si>
  <si>
    <t>only for LC_Amort_Years, evenly amortized</t>
    <phoneticPr fontId="1" type="noConversion"/>
  </si>
  <si>
    <t>Smooths large upfront costs into uniform monthly charges to show stabilized NOI/AFFO impact.</t>
    <phoneticPr fontId="1" type="noConversion"/>
  </si>
  <si>
    <t>Aligns one-off leasing costs with the economic benefit period of the lease.</t>
    <phoneticPr fontId="1" type="noConversion"/>
  </si>
  <si>
    <t>Debt_Balance with Eff_rate per month</t>
    <phoneticPr fontId="1" type="noConversion"/>
  </si>
  <si>
    <t>Scenario</t>
  </si>
  <si>
    <t>Scenario</t>
    <phoneticPr fontId="1" type="noConversion"/>
  </si>
  <si>
    <t>Base</t>
    <phoneticPr fontId="1" type="noConversion"/>
  </si>
  <si>
    <t>Upside</t>
    <phoneticPr fontId="1" type="noConversion"/>
  </si>
  <si>
    <t>Downside</t>
    <phoneticPr fontId="1" type="noConversion"/>
  </si>
  <si>
    <t>CF_Downside</t>
  </si>
  <si>
    <t>CF_Downside</t>
    <phoneticPr fontId="1" type="noConversion"/>
  </si>
  <si>
    <t>CF_Base</t>
  </si>
  <si>
    <t>CF_Base</t>
    <phoneticPr fontId="1" type="noConversion"/>
  </si>
  <si>
    <t>CF_Upside</t>
  </si>
  <si>
    <t>CF_Upside</t>
    <phoneticPr fontId="1" type="noConversion"/>
  </si>
  <si>
    <t>Sensitivity</t>
    <phoneticPr fontId="1" type="noConversion"/>
  </si>
  <si>
    <t>Candidate</t>
  </si>
  <si>
    <t>Year_NOI_pre_Amort</t>
  </si>
  <si>
    <t>Year_AFFO</t>
  </si>
  <si>
    <t>Δ% vs Base</t>
  </si>
  <si>
    <t>Rent Growth (Annual_Rent_Growth_pct) Sensitivity</t>
    <phoneticPr fontId="1" type="noConversion"/>
  </si>
  <si>
    <t>ΔNOI vs Base</t>
    <phoneticPr fontId="1" type="noConversion"/>
  </si>
  <si>
    <t>Scenario Selection</t>
    <phoneticPr fontId="1" type="noConversion"/>
  </si>
  <si>
    <t>Quarter</t>
  </si>
  <si>
    <t>Quarter</t>
    <phoneticPr fontId="1" type="noConversion"/>
  </si>
  <si>
    <t>Q1</t>
  </si>
  <si>
    <t>Q1</t>
    <phoneticPr fontId="1" type="noConversion"/>
  </si>
  <si>
    <t>Q2</t>
  </si>
  <si>
    <t>Q3</t>
  </si>
  <si>
    <t>Q4</t>
  </si>
  <si>
    <t>Q2</t>
    <phoneticPr fontId="1" type="noConversion"/>
  </si>
  <si>
    <t>Q3</t>
    <phoneticPr fontId="1" type="noConversion"/>
  </si>
  <si>
    <t>Q4</t>
    <phoneticPr fontId="1" type="noConversion"/>
  </si>
  <si>
    <t>OVR_RG_0bps</t>
  </si>
  <si>
    <t>OVR_RG_2bps</t>
  </si>
  <si>
    <t>OVR_RG_3bps</t>
  </si>
  <si>
    <t>OVR_RG_4bps</t>
  </si>
  <si>
    <t>OVR_RG_5bps</t>
  </si>
  <si>
    <t>OVR_RG_6bps</t>
  </si>
  <si>
    <t>OVR_DT_0m</t>
  </si>
  <si>
    <t>OVR_DT_1m</t>
  </si>
  <si>
    <t>OVR_DT_2m</t>
  </si>
  <si>
    <t>OVR_DT_3m</t>
  </si>
  <si>
    <t>OVR_EG_1</t>
  </si>
  <si>
    <t>OVR_EG_2</t>
  </si>
  <si>
    <t>OVR_EG_3</t>
  </si>
  <si>
    <t>OVR_RR_4</t>
  </si>
  <si>
    <t>OVR_RR_5</t>
  </si>
  <si>
    <t>OVR_RR_6</t>
  </si>
  <si>
    <t>Month_Start (月索引)</t>
  </si>
  <si>
    <t>Month_Start (月)</t>
  </si>
  <si>
    <t>1 月</t>
  </si>
  <si>
    <t>2 月</t>
  </si>
  <si>
    <t>3 月</t>
  </si>
  <si>
    <t>4 月</t>
  </si>
  <si>
    <t>5 月</t>
  </si>
  <si>
    <t>6 月</t>
  </si>
  <si>
    <t>7 月</t>
  </si>
  <si>
    <t>8 月</t>
  </si>
  <si>
    <t>9 月</t>
  </si>
  <si>
    <t>10 月</t>
  </si>
  <si>
    <t>11 月</t>
  </si>
  <si>
    <t>12 月</t>
  </si>
  <si>
    <t>Grand Total</t>
  </si>
  <si>
    <t>NOI_pre_Amort汇总</t>
  </si>
  <si>
    <t>NOI汇总</t>
  </si>
  <si>
    <t>AFFO汇总</t>
  </si>
  <si>
    <t>Q1 
Δ vs Base</t>
    <phoneticPr fontId="1" type="noConversion"/>
  </si>
  <si>
    <t>Year 
Δ vs Base</t>
    <phoneticPr fontId="1" type="noConversion"/>
  </si>
  <si>
    <t>Q1 
Δ% vs Base</t>
    <phoneticPr fontId="1" type="noConversion"/>
  </si>
  <si>
    <t>Year 
Δ% vs Base</t>
    <phoneticPr fontId="1" type="noConversion"/>
  </si>
  <si>
    <t>CF_Downside Total</t>
  </si>
  <si>
    <t>Upside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</si>
</sst>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"/>
    <numFmt numFmtId="177" formatCode="#,##0_ "/>
    <numFmt numFmtId="178" formatCode="#,##0.00_);[Red]\(#,##0.00\)"/>
    <numFmt numFmtId="179" formatCode="0.0%"/>
    <numFmt numFmtId="180" formatCode="#,##0_);[Red]\(#,##0\)"/>
  </numFmts>
  <fonts count="12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宋体"/>
      <family val="2"/>
    </font>
    <font>
      <sz val="11"/>
      <color theme="1"/>
      <name val="宋体"/>
      <family val="2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宋体"/>
      <family val="2"/>
      <scheme val="minor"/>
    </font>
    <font>
      <i/>
      <sz val="11"/>
      <color rgb="FF555555"/>
      <name val="Calibri"/>
      <family val="2"/>
    </font>
    <font>
      <b/>
      <sz val="11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EEECE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>
      <alignment vertical="center"/>
    </xf>
  </cellStyleXfs>
  <cellXfs count="58">
    <xf numFmtId="0" fontId="0" fillId="0" borderId="0" xfId="0"/>
    <xf numFmtId="0" fontId="3" fillId="0" borderId="0" xfId="0" applyFont="1"/>
    <xf numFmtId="176" fontId="3" fillId="0" borderId="0" xfId="0" applyNumberFormat="1" applyFont="1"/>
    <xf numFmtId="0" fontId="2" fillId="2" borderId="1" xfId="0" applyFont="1" applyFill="1" applyBorder="1"/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7" fillId="2" borderId="1" xfId="0" applyFont="1" applyFill="1" applyBorder="1"/>
    <xf numFmtId="0" fontId="8" fillId="0" borderId="0" xfId="0" applyFont="1"/>
    <xf numFmtId="176" fontId="8" fillId="0" borderId="0" xfId="0" applyNumberFormat="1" applyFont="1"/>
    <xf numFmtId="0" fontId="2" fillId="0" borderId="0" xfId="0" applyFont="1"/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/>
    <xf numFmtId="3" fontId="6" fillId="6" borderId="1" xfId="0" applyNumberFormat="1" applyFont="1" applyFill="1" applyBorder="1"/>
    <xf numFmtId="4" fontId="6" fillId="6" borderId="1" xfId="0" applyNumberFormat="1" applyFont="1" applyFill="1" applyBorder="1"/>
    <xf numFmtId="2" fontId="3" fillId="0" borderId="0" xfId="0" applyNumberFormat="1" applyFont="1"/>
    <xf numFmtId="178" fontId="3" fillId="0" borderId="0" xfId="0" applyNumberFormat="1" applyFont="1"/>
    <xf numFmtId="178" fontId="6" fillId="6" borderId="1" xfId="0" applyNumberFormat="1" applyFont="1" applyFill="1" applyBorder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6" fillId="8" borderId="1" xfId="0" applyFont="1" applyFill="1" applyBorder="1" applyAlignment="1">
      <alignment horizontal="center"/>
    </xf>
    <xf numFmtId="0" fontId="10" fillId="0" borderId="0" xfId="0" applyFont="1"/>
    <xf numFmtId="10" fontId="3" fillId="0" borderId="0" xfId="0" applyNumberFormat="1" applyFont="1"/>
    <xf numFmtId="10" fontId="6" fillId="7" borderId="1" xfId="1" applyNumberFormat="1" applyFont="1" applyFill="1" applyBorder="1" applyAlignment="1">
      <alignment horizontal="right"/>
    </xf>
    <xf numFmtId="10" fontId="3" fillId="0" borderId="0" xfId="1" applyNumberFormat="1" applyFont="1" applyAlignment="1"/>
    <xf numFmtId="179" fontId="3" fillId="0" borderId="0" xfId="1" applyNumberFormat="1" applyFont="1" applyAlignment="1"/>
    <xf numFmtId="0" fontId="11" fillId="9" borderId="1" xfId="0" applyFont="1" applyFill="1" applyBorder="1" applyAlignment="1">
      <alignment wrapText="1"/>
    </xf>
    <xf numFmtId="0" fontId="3" fillId="5" borderId="1" xfId="0" applyFont="1" applyFill="1" applyBorder="1"/>
    <xf numFmtId="176" fontId="3" fillId="0" borderId="1" xfId="0" applyNumberFormat="1" applyFont="1" applyBorder="1"/>
    <xf numFmtId="10" fontId="3" fillId="5" borderId="1" xfId="0" applyNumberFormat="1" applyFont="1" applyFill="1" applyBorder="1"/>
    <xf numFmtId="10" fontId="3" fillId="4" borderId="1" xfId="0" applyNumberFormat="1" applyFont="1" applyFill="1" applyBorder="1"/>
    <xf numFmtId="10" fontId="3" fillId="3" borderId="1" xfId="0" applyNumberFormat="1" applyFont="1" applyFill="1" applyBorder="1"/>
    <xf numFmtId="0" fontId="2" fillId="5" borderId="1" xfId="0" applyFont="1" applyFill="1" applyBorder="1" applyAlignment="1">
      <alignment wrapText="1"/>
    </xf>
    <xf numFmtId="0" fontId="2" fillId="4" borderId="1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0" xfId="0" applyFont="1" applyAlignment="1">
      <alignment wrapText="1"/>
    </xf>
    <xf numFmtId="0" fontId="2" fillId="10" borderId="1" xfId="0" applyFont="1" applyFill="1" applyBorder="1"/>
    <xf numFmtId="177" fontId="3" fillId="0" borderId="1" xfId="0" applyNumberFormat="1" applyFont="1" applyBorder="1"/>
    <xf numFmtId="10" fontId="3" fillId="0" borderId="1" xfId="0" applyNumberFormat="1" applyFont="1" applyBorder="1"/>
    <xf numFmtId="0" fontId="6" fillId="11" borderId="1" xfId="0" applyFont="1" applyFill="1" applyBorder="1" applyAlignment="1">
      <alignment horizontal="center"/>
    </xf>
    <xf numFmtId="0" fontId="11" fillId="9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wrapText="1"/>
    </xf>
    <xf numFmtId="0" fontId="3" fillId="0" borderId="0" xfId="0" applyFont="1" applyAlignment="1">
      <alignment wrapText="1"/>
    </xf>
    <xf numFmtId="22" fontId="0" fillId="0" borderId="0" xfId="0" applyNumberFormat="1"/>
    <xf numFmtId="0" fontId="2" fillId="3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180" fontId="3" fillId="0" borderId="0" xfId="0" applyNumberFormat="1" applyFont="1"/>
    <xf numFmtId="0" fontId="3" fillId="0" borderId="0" xfId="0" applyFont="1" applyAlignment="1">
      <alignment horizontal="center" wrapText="1"/>
    </xf>
    <xf numFmtId="180" fontId="3" fillId="0" borderId="0" xfId="0" applyNumberFormat="1" applyFont="1" applyAlignment="1">
      <alignment horizontal="center" wrapText="1"/>
    </xf>
    <xf numFmtId="0" fontId="2" fillId="1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14" fontId="3" fillId="0" borderId="0" xfId="0" applyNumberFormat="1" applyFont="1"/>
    <xf numFmtId="0" fontId="2" fillId="13" borderId="0" xfId="0" applyFont="1" applyFill="1"/>
    <xf numFmtId="180" fontId="2" fillId="13" borderId="0" xfId="0" applyNumberFormat="1" applyFont="1" applyFill="1"/>
  </cellXfs>
  <cellStyles count="2">
    <cellStyle name="百分比" xfId="1" builtinId="5"/>
    <cellStyle name="常规" xfId="0" builtinId="0"/>
  </cellStyles>
  <dxfs count="162"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alignment wrapText="1"/>
    </dxf>
    <dxf>
      <alignment horizontal="center"/>
    </dxf>
    <dxf>
      <fill>
        <patternFill patternType="solid">
          <bgColor theme="4" tint="0.79998168889431442"/>
        </patternFill>
      </fill>
    </dxf>
    <dxf>
      <numFmt numFmtId="180" formatCode="#,##0_);[Red]\(#,##0\)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b/>
      </font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alignment wrapText="1"/>
    </dxf>
    <dxf>
      <alignment horizontal="center"/>
    </dxf>
    <dxf>
      <fill>
        <patternFill patternType="solid">
          <bgColor theme="4" tint="0.79998168889431442"/>
        </patternFill>
      </fill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numFmt numFmtId="180" formatCode="#,##0_);[Red]\(#,##0\)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</dxf>
    <dxf>
      <numFmt numFmtId="27" formatCode="yyyy/m/d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Tornado - Sens_RG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Sens_RG!$D$4</c:f>
              <c:strCache>
                <c:ptCount val="1"/>
                <c:pt idx="0">
                  <c:v>ΔNOI vs Base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numRef>
              <c:f>Sens_RG!$A$5:$A$10</c:f>
              <c:numCache>
                <c:formatCode>0.00%</c:formatCode>
                <c:ptCount val="6"/>
                <c:pt idx="0">
                  <c:v>0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</c:numCache>
            </c:numRef>
          </c:cat>
          <c:val>
            <c:numRef>
              <c:f>Sens_RG!$D$5:$D$10</c:f>
              <c:numCache>
                <c:formatCode>0.00</c:formatCode>
                <c:ptCount val="6"/>
                <c:pt idx="0">
                  <c:v>-6668.1919077040511</c:v>
                </c:pt>
                <c:pt idx="1">
                  <c:v>-2215.0432446060586</c:v>
                </c:pt>
                <c:pt idx="2">
                  <c:v>0</c:v>
                </c:pt>
                <c:pt idx="3">
                  <c:v>2207.5032125666039</c:v>
                </c:pt>
                <c:pt idx="4">
                  <c:v>4407.5735821083072</c:v>
                </c:pt>
                <c:pt idx="5">
                  <c:v>6600.3157405087259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240-BC95-05C15AF3B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Sens_RG!$E$4</c:f>
              <c:strCache>
                <c:ptCount val="1"/>
                <c:pt idx="0">
                  <c:v>Δ% vs Base</c:v>
                </c:pt>
              </c:strCache>
            </c:strRef>
          </c:tx>
          <c:marker>
            <c:symbol val="none"/>
          </c:marker>
          <c:cat>
            <c:numRef>
              <c:f>Sens_RG!$A$5:$A$10</c:f>
              <c:numCache>
                <c:formatCode>0.00%</c:formatCode>
                <c:ptCount val="6"/>
                <c:pt idx="0">
                  <c:v>0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</c:numCache>
            </c:numRef>
          </c:cat>
          <c:val>
            <c:numRef>
              <c:f>Sens_RG!$E$5:$E$10</c:f>
              <c:numCache>
                <c:formatCode>0.00%</c:formatCode>
                <c:ptCount val="6"/>
                <c:pt idx="0">
                  <c:v>-2.0746030535689353E-2</c:v>
                </c:pt>
                <c:pt idx="1">
                  <c:v>-6.8914265555821697E-3</c:v>
                </c:pt>
                <c:pt idx="2">
                  <c:v>0</c:v>
                </c:pt>
                <c:pt idx="3">
                  <c:v>6.8679680623211503E-3</c:v>
                </c:pt>
                <c:pt idx="4">
                  <c:v>1.3712811117069457E-2</c:v>
                </c:pt>
                <c:pt idx="5">
                  <c:v>2.053485469420635E-2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2B-4240-BC95-05C15AF3B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2319824"/>
        <c:axId val="952313104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Candidate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low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l-GR"/>
                  <a:t>Δ </a:t>
                </a:r>
                <a:r>
                  <a:rPr lang="en-US"/>
                  <a:t>vs Base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95231310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952319824"/>
        <c:crosses val="max"/>
        <c:crossBetween val="between"/>
      </c:valAx>
      <c:catAx>
        <c:axId val="952319824"/>
        <c:scaling>
          <c:orientation val="minMax"/>
        </c:scaling>
        <c:delete val="1"/>
        <c:axPos val="b"/>
        <c:numFmt formatCode="0.00%" sourceLinked="1"/>
        <c:majorTickMark val="out"/>
        <c:minorTickMark val="none"/>
        <c:tickLblPos val="nextTo"/>
        <c:crossAx val="952313104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9525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5AFE96-7D13-4441-9DB3-03147D5576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5964.819258680553" backgroundQuery="1" createdVersion="8" refreshedVersion="8" minRefreshableVersion="3" recordCount="0" supportSubquery="1" supportAdvancedDrill="1" xr:uid="{3BC1C83C-E9F2-4CFA-823F-3046024F90DD}">
  <cacheSource type="external" connectionId="2"/>
  <cacheFields count="5">
    <cacheField name="[CF_Scenario 1].[Scenario].[Scenario]" caption="Scenario" numFmtId="0" hierarchy="34" level="1">
      <sharedItems count="3">
        <s v="CF_Base"/>
        <s v="CF_Downside"/>
        <s v="CF_Upside"/>
      </sharedItems>
    </cacheField>
    <cacheField name="[Measures].[以下项目的总和:AFFO]" caption="以下项目的总和:AFFO" numFmtId="0" hierarchy="46" level="32767"/>
    <cacheField name="[Measures].[以下项目的总和:NOI]" caption="以下项目的总和:NOI" numFmtId="0" hierarchy="48" level="32767"/>
    <cacheField name="[Measures].[以下项目的总和:NOI_pre_Amort]" caption="以下项目的总和:NOI_pre_Amort" numFmtId="0" hierarchy="41" level="32767"/>
    <cacheField name="[CF_Scenario 1].[Quarter].[Quarter]" caption="Quarter" numFmtId="0" hierarchy="35" level="1">
      <sharedItems count="4">
        <s v="Q1"/>
        <s v="Q2"/>
        <s v="Q3"/>
        <s v="Q4"/>
      </sharedItems>
    </cacheField>
  </cacheFields>
  <cacheHierarchies count="55">
    <cacheHierarchy uniqueName="[CF_Scenario].[Month_Index]" caption="Month_Index" attribute="1" defaultMemberUniqueName="[CF_Scenario].[Month_Index].[All]" allUniqueName="[CF_Scenario].[Month_Index].[All]" dimensionUniqueName="[CF_Scenario]" displayFolder="" count="0" memberValueDatatype="20" unbalanced="0"/>
    <cacheHierarchy uniqueName="[CF_Scenario].[Month_Start]" caption="Month_Start" attribute="1" time="1" defaultMemberUniqueName="[CF_Scenario].[Month_Start].[All]" allUniqueName="[CF_Scenario].[Month_Start].[All]" dimensionUniqueName="[CF_Scenario]" displayFolder="" count="0" memberValueDatatype="7" unbalanced="0"/>
    <cacheHierarchy uniqueName="[CF_Scenario].[Occupied]" caption="Occupied" attribute="1" defaultMemberUniqueName="[CF_Scenario].[Occupied].[All]" allUniqueName="[CF_Scenario].[Occupied].[All]" dimensionUniqueName="[CF_Scenario]" displayFolder="" count="0" memberValueDatatype="20" unbalanced="0"/>
    <cacheHierarchy uniqueName="[CF_Scenario].[FreeRent]" caption="FreeRent" attribute="1" defaultMemberUniqueName="[CF_Scenario].[FreeRent].[All]" allUniqueName="[CF_Scenario].[FreeRent].[All]" dimensionUniqueName="[CF_Scenario]" displayFolder="" count="0" memberValueDatatype="20" unbalanced="0"/>
    <cacheHierarchy uniqueName="[CF_Scenario].[Rent_psf_pa]" caption="Rent_psf_pa" attribute="1" defaultMemberUniqueName="[CF_Scenario].[Rent_psf_pa].[All]" allUniqueName="[CF_Scenario].[Rent_psf_pa].[All]" dimensionUniqueName="[CF_Scenario]" displayFolder="" count="0" memberValueDatatype="5" unbalanced="0"/>
    <cacheHierarchy uniqueName="[CF_Scenario].[Base_Rent]" caption="Base_Rent" attribute="1" defaultMemberUniqueName="[CF_Scenario].[Base_Rent].[All]" allUniqueName="[CF_Scenario].[Base_Rent].[All]" dimensionUniqueName="[CF_Scenario]" displayFolder="" count="0" memberValueDatatype="5" unbalanced="0"/>
    <cacheHierarchy uniqueName="[CF_Scenario].[Expense_psf_pa]" caption="Expense_psf_pa" attribute="1" defaultMemberUniqueName="[CF_Scenario].[Expense_psf_pa].[All]" allUniqueName="[CF_Scenario].[Expense_psf_pa].[All]" dimensionUniqueName="[CF_Scenario]" displayFolder="" count="0" memberValueDatatype="5" unbalanced="0"/>
    <cacheHierarchy uniqueName="[CF_Scenario].[OpEx]" caption="OpEx" attribute="1" defaultMemberUniqueName="[CF_Scenario].[OpEx].[All]" allUniqueName="[CF_Scenario].[OpEx].[All]" dimensionUniqueName="[CF_Scenario]" displayFolder="" count="0" memberValueDatatype="5" unbalanced="0"/>
    <cacheHierarchy uniqueName="[CF_Scenario].[Recoveries]" caption="Recoveries" attribute="1" defaultMemberUniqueName="[CF_Scenario].[Recoveries].[All]" allUniqueName="[CF_Scenario].[Recoveries].[All]" dimensionUniqueName="[CF_Scenario]" displayFolder="" count="0" memberValueDatatype="5" unbalanced="0"/>
    <cacheHierarchy uniqueName="[CF_Scenario].[Bad_Debt]" caption="Bad_Debt" attribute="1" defaultMemberUniqueName="[CF_Scenario].[Bad_Debt].[All]" allUniqueName="[CF_Scenario].[Bad_Debt].[All]" dimensionUniqueName="[CF_Scenario]" displayFolder="" count="0" memberValueDatatype="5" unbalanced="0"/>
    <cacheHierarchy uniqueName="[CF_Scenario].[NOI_pre_Amort]" caption="NOI_pre_Amort" attribute="1" defaultMemberUniqueName="[CF_Scenario].[NOI_pre_Amort].[All]" allUniqueName="[CF_Scenario].[NOI_pre_Amort].[All]" dimensionUniqueName="[CF_Scenario]" displayFolder="" count="0" memberValueDatatype="5" unbalanced="0"/>
    <cacheHierarchy uniqueName="[CF_Scenario].[TI_Amort]" caption="TI_Amort" attribute="1" defaultMemberUniqueName="[CF_Scenario].[TI_Amort].[All]" allUniqueName="[CF_Scenario].[TI_Amort].[All]" dimensionUniqueName="[CF_Scenario]" displayFolder="" count="0" memberValueDatatype="5" unbalanced="0"/>
    <cacheHierarchy uniqueName="[CF_Scenario].[LC_Amort]" caption="LC_Amort" attribute="1" defaultMemberUniqueName="[CF_Scenario].[LC_Amort].[All]" allUniqueName="[CF_Scenario].[LC_Amort].[All]" dimensionUniqueName="[CF_Scenario]" displayFolder="" count="0" memberValueDatatype="5" unbalanced="0"/>
    <cacheHierarchy uniqueName="[CF_Scenario].[NOI]" caption="NOI" attribute="1" defaultMemberUniqueName="[CF_Scenario].[NOI].[All]" allUniqueName="[CF_Scenario].[NOI].[All]" dimensionUniqueName="[CF_Scenario]" displayFolder="" count="0" memberValueDatatype="5" unbalanced="0"/>
    <cacheHierarchy uniqueName="[CF_Scenario].[Interest_Expense]" caption="Interest_Expense" attribute="1" defaultMemberUniqueName="[CF_Scenario].[Interest_Expense].[All]" allUniqueName="[CF_Scenario].[Interest_Expense].[All]" dimensionUniqueName="[CF_Scenario]" displayFolder="" count="0" memberValueDatatype="5" unbalanced="0"/>
    <cacheHierarchy uniqueName="[CF_Scenario].[AFFO]" caption="AFFO" attribute="1" defaultMemberUniqueName="[CF_Scenario].[AFFO].[All]" allUniqueName="[CF_Scenario].[AFFO].[All]" dimensionUniqueName="[CF_Scenario]" displayFolder="" count="0" memberValueDatatype="5" unbalanced="0"/>
    <cacheHierarchy uniqueName="[CF_Scenario].[Scenario]" caption="Scenario" attribute="1" defaultMemberUniqueName="[CF_Scenario].[Scenario].[All]" allUniqueName="[CF_Scenario].[Scenario].[All]" dimensionUniqueName="[CF_Scenario]" displayFolder="" count="0" memberValueDatatype="130" unbalanced="0"/>
    <cacheHierarchy uniqueName="[CF_Scenario].[Quarter]" caption="Quarter" attribute="1" defaultMemberUniqueName="[CF_Scenario].[Quarter].[All]" allUniqueName="[CF_Scenario].[Quarter].[All]" dimensionUniqueName="[CF_Scenario]" displayFolder="" count="0" memberValueDatatype="130" unbalanced="0"/>
    <cacheHierarchy uniqueName="[CF_Scenario 1].[Month_Index]" caption="Month_Index" attribute="1" defaultMemberUniqueName="[CF_Scenario 1].[Month_Index].[All]" allUniqueName="[CF_Scenario 1].[Month_Index].[All]" dimensionUniqueName="[CF_Scenario 1]" displayFolder="" count="2" memberValueDatatype="20" unbalanced="0"/>
    <cacheHierarchy uniqueName="[CF_Scenario 1].[Month_Start]" caption="Month_Start" attribute="1" time="1" defaultMemberUniqueName="[CF_Scenario 1].[Month_Start].[All]" allUniqueName="[CF_Scenario 1].[Month_Start].[All]" dimensionUniqueName="[CF_Scenario 1]" displayFolder="" count="2" memberValueDatatype="7" unbalanced="0"/>
    <cacheHierarchy uniqueName="[CF_Scenario 1].[Occupied]" caption="Occupied" attribute="1" defaultMemberUniqueName="[CF_Scenario 1].[Occupied].[All]" allUniqueName="[CF_Scenario 1].[Occupied].[All]" dimensionUniqueName="[CF_Scenario 1]" displayFolder="" count="0" memberValueDatatype="20" unbalanced="0"/>
    <cacheHierarchy uniqueName="[CF_Scenario 1].[FreeRent]" caption="FreeRent" attribute="1" defaultMemberUniqueName="[CF_Scenario 1].[FreeRent].[All]" allUniqueName="[CF_Scenario 1].[FreeRent].[All]" dimensionUniqueName="[CF_Scenario 1]" displayFolder="" count="0" memberValueDatatype="20" unbalanced="0"/>
    <cacheHierarchy uniqueName="[CF_Scenario 1].[Rent_psf_pa]" caption="Rent_psf_pa" attribute="1" defaultMemberUniqueName="[CF_Scenario 1].[Rent_psf_pa].[All]" allUniqueName="[CF_Scenario 1].[Rent_psf_pa].[All]" dimensionUniqueName="[CF_Scenario 1]" displayFolder="" count="0" memberValueDatatype="5" unbalanced="0"/>
    <cacheHierarchy uniqueName="[CF_Scenario 1].[Base_Rent]" caption="Base_Rent" attribute="1" defaultMemberUniqueName="[CF_Scenario 1].[Base_Rent].[All]" allUniqueName="[CF_Scenario 1].[Base_Rent].[All]" dimensionUniqueName="[CF_Scenario 1]" displayFolder="" count="0" memberValueDatatype="5" unbalanced="0"/>
    <cacheHierarchy uniqueName="[CF_Scenario 1].[Expense_psf_pa]" caption="Expense_psf_pa" attribute="1" defaultMemberUniqueName="[CF_Scenario 1].[Expense_psf_pa].[All]" allUniqueName="[CF_Scenario 1].[Expense_psf_pa].[All]" dimensionUniqueName="[CF_Scenario 1]" displayFolder="" count="0" memberValueDatatype="5" unbalanced="0"/>
    <cacheHierarchy uniqueName="[CF_Scenario 1].[OpEx]" caption="OpEx" attribute="1" defaultMemberUniqueName="[CF_Scenario 1].[OpEx].[All]" allUniqueName="[CF_Scenario 1].[OpEx].[All]" dimensionUniqueName="[CF_Scenario 1]" displayFolder="" count="0" memberValueDatatype="5" unbalanced="0"/>
    <cacheHierarchy uniqueName="[CF_Scenario 1].[Recoveries]" caption="Recoveries" attribute="1" defaultMemberUniqueName="[CF_Scenario 1].[Recoveries].[All]" allUniqueName="[CF_Scenario 1].[Recoveries].[All]" dimensionUniqueName="[CF_Scenario 1]" displayFolder="" count="0" memberValueDatatype="5" unbalanced="0"/>
    <cacheHierarchy uniqueName="[CF_Scenario 1].[Bad_Debt]" caption="Bad_Debt" attribute="1" defaultMemberUniqueName="[CF_Scenario 1].[Bad_Debt].[All]" allUniqueName="[CF_Scenario 1].[Bad_Debt].[All]" dimensionUniqueName="[CF_Scenario 1]" displayFolder="" count="0" memberValueDatatype="5" unbalanced="0"/>
    <cacheHierarchy uniqueName="[CF_Scenario 1].[NOI_pre_Amort]" caption="NOI_pre_Amort" attribute="1" defaultMemberUniqueName="[CF_Scenario 1].[NOI_pre_Amort].[All]" allUniqueName="[CF_Scenario 1].[NOI_pre_Amort].[All]" dimensionUniqueName="[CF_Scenario 1]" displayFolder="" count="0" memberValueDatatype="5" unbalanced="0"/>
    <cacheHierarchy uniqueName="[CF_Scenario 1].[TI_Amort]" caption="TI_Amort" attribute="1" defaultMemberUniqueName="[CF_Scenario 1].[TI_Amort].[All]" allUniqueName="[CF_Scenario 1].[TI_Amort].[All]" dimensionUniqueName="[CF_Scenario 1]" displayFolder="" count="0" memberValueDatatype="5" unbalanced="0"/>
    <cacheHierarchy uniqueName="[CF_Scenario 1].[LC_Amort]" caption="LC_Amort" attribute="1" defaultMemberUniqueName="[CF_Scenario 1].[LC_Amort].[All]" allUniqueName="[CF_Scenario 1].[LC_Amort].[All]" dimensionUniqueName="[CF_Scenario 1]" displayFolder="" count="0" memberValueDatatype="5" unbalanced="0"/>
    <cacheHierarchy uniqueName="[CF_Scenario 1].[NOI]" caption="NOI" attribute="1" defaultMemberUniqueName="[CF_Scenario 1].[NOI].[All]" allUniqueName="[CF_Scenario 1].[NOI].[All]" dimensionUniqueName="[CF_Scenario 1]" displayFolder="" count="0" memberValueDatatype="5" unbalanced="0"/>
    <cacheHierarchy uniqueName="[CF_Scenario 1].[Interest_Expense]" caption="Interest_Expense" attribute="1" defaultMemberUniqueName="[CF_Scenario 1].[Interest_Expense].[All]" allUniqueName="[CF_Scenario 1].[Interest_Expense].[All]" dimensionUniqueName="[CF_Scenario 1]" displayFolder="" count="0" memberValueDatatype="5" unbalanced="0"/>
    <cacheHierarchy uniqueName="[CF_Scenario 1].[AFFO]" caption="AFFO" attribute="1" defaultMemberUniqueName="[CF_Scenario 1].[AFFO].[All]" allUniqueName="[CF_Scenario 1].[AFFO].[All]" dimensionUniqueName="[CF_Scenario 1]" displayFolder="" count="0" memberValueDatatype="5" unbalanced="0"/>
    <cacheHierarchy uniqueName="[CF_Scenario 1].[Scenario]" caption="Scenario" attribute="1" defaultMemberUniqueName="[CF_Scenario 1].[Scenario].[All]" allUniqueName="[CF_Scenario 1].[Scenario].[All]" dimensionUniqueName="[CF_Scenario 1]" displayFolder="" count="2" memberValueDatatype="130" unbalanced="0">
      <fieldsUsage count="2">
        <fieldUsage x="-1"/>
        <fieldUsage x="0"/>
      </fieldsUsage>
    </cacheHierarchy>
    <cacheHierarchy uniqueName="[CF_Scenario 1].[Quarter]" caption="Quarter" attribute="1" defaultMemberUniqueName="[CF_Scenario 1].[Quarter].[All]" allUniqueName="[CF_Scenario 1].[Quarter].[All]" dimensionUniqueName="[CF_Scenario 1]" displayFolder="" count="2" memberValueDatatype="130" unbalanced="0">
      <fieldsUsage count="2">
        <fieldUsage x="-1"/>
        <fieldUsage x="4"/>
      </fieldsUsage>
    </cacheHierarchy>
    <cacheHierarchy uniqueName="[CF_Scenario 1].[Month_Start (月)]" caption="Month_Start (月)" attribute="1" defaultMemberUniqueName="[CF_Scenario 1].[Month_Start (月)].[All]" allUniqueName="[CF_Scenario 1].[Month_Start (月)].[All]" dimensionUniqueName="[CF_Scenario 1]" displayFolder="" count="0" memberValueDatatype="130" unbalanced="0"/>
    <cacheHierarchy uniqueName="[CF_Scenario 1].[Month_Start (月索引)]" caption="Month_Start (月索引)" attribute="1" defaultMemberUniqueName="[CF_Scenario 1].[Month_Start (月索引)].[All]" allUniqueName="[CF_Scenario 1].[Month_Start (月索引)].[All]" dimensionUniqueName="[CF_Scenario 1]" displayFolder="" count="0" memberValueDatatype="20" unbalanced="0" hidden="1"/>
    <cacheHierarchy uniqueName="[Measures].[__XL_Count CF_Scenario]" caption="__XL_Count CF_Scenario" measure="1" displayFolder="" measureGroup="CF_Scenario" count="0" hidden="1"/>
    <cacheHierarchy uniqueName="[Measures].[__XL_Count CF_Scenario 1]" caption="__XL_Count CF_Scenario 1" measure="1" displayFolder="" measureGroup="CF_Scenario 1" count="0" hidden="1"/>
    <cacheHierarchy uniqueName="[Measures].[__未定义度量值]" caption="__未定义度量值" measure="1" displayFolder="" count="0" hidden="1"/>
    <cacheHierarchy uniqueName="[Measures].[以下项目的总和:NOI_pre_Amort]" caption="以下项目的总和:NOI_pre_Amort" measure="1" displayFolder="" measureGroup="CF_Scenario 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以下项目的总和:Bad_Debt]" caption="以下项目的总和:Bad_Debt" measure="1" displayFolder="" measureGroup="CF_Scenario 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以下项目的总和:Recoveries]" caption="以下项目的总和:Recoveries" measure="1" displayFolder="" measureGroup="CF_Scenario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以下项目的总和:OpEx]" caption="以下项目的总和:OpEx" measure="1" displayFolder="" measureGroup="CF_Scenario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以下项目的总和:Expense_psf_pa]" caption="以下项目的总和:Expense_psf_pa" measure="1" displayFolder="" measureGroup="CF_Scenario 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以下项目的总和:AFFO]" caption="以下项目的总和:AFFO" measure="1" displayFolder="" measureGroup="CF_Scenario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以下项目的总和:Interest_Expense]" caption="以下项目的总和:Interest_Expense" measure="1" displayFolder="" measureGroup="CF_Scenario 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以下项目的总和:NOI]" caption="以下项目的总和:NOI" measure="1" displayFolder="" measureGroup="CF_Scenario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以下项目的总和:LC_Amort]" caption="以下项目的总和:LC_Amort" measure="1" displayFolder="" measureGroup="CF_Scenario 1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以下项目的总和:TI_Amort]" caption="以下项目的总和:TI_Amort" measure="1" displayFolder="" measureGroup="CF_Scenario 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以下项目的总和:Base_Rent]" caption="以下项目的总和:Base_Rent" measure="1" displayFolder="" measureGroup="CF_Scenario 1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以下项目的总和:Rent_psf_pa]" caption="以下项目的总和:Rent_psf_pa" measure="1" displayFolder="" measureGroup="CF_Scenario 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以下项目的总和:FreeRent]" caption="以下项目的总和:FreeRent" measure="1" displayFolder="" measureGroup="CF_Scenario 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以下项目的总和:Occupied]" caption="以下项目的总和:Occupied" measure="1" displayFolder="" measureGroup="CF_Scenario 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3">
    <dimension name="CF_Scenario" uniqueName="[CF_Scenario]" caption="CF_Scenario"/>
    <dimension name="CF_Scenario 1" uniqueName="[CF_Scenario 1]" caption="CF_Scenario 1"/>
    <dimension measure="1" name="Measures" uniqueName="[Measures]" caption="Measures"/>
  </dimensions>
  <measureGroups count="2">
    <measureGroup name="CF_Scenario" caption="CF_Scenario"/>
    <measureGroup name="CF_Scenario 1" caption="CF_Scenario 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5964.826486458333" backgroundQuery="1" createdVersion="8" refreshedVersion="8" minRefreshableVersion="3" recordCount="0" supportSubquery="1" supportAdvancedDrill="1" xr:uid="{99514CD8-2F8A-4E3A-A9E0-B0D4D86E6199}">
  <cacheSource type="external" connectionId="2"/>
  <cacheFields count="17">
    <cacheField name="[CF_Scenario 1].[Scenario].[Scenario]" caption="Scenario" numFmtId="0" hierarchy="34" level="1">
      <sharedItems count="3">
        <s v="CF_Base"/>
        <s v="CF_Downside"/>
        <s v="CF_Upside"/>
      </sharedItems>
    </cacheField>
    <cacheField name="[CF_Scenario 1].[Month_Index].[Month_Index]" caption="Month_Index" numFmtId="0" hierarchy="18" level="1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CF_Scenario 1].[Month_Index].&amp;[1]"/>
            <x15:cachedUniqueName index="1" name="[CF_Scenario 1].[Month_Index].&amp;[2]"/>
            <x15:cachedUniqueName index="2" name="[CF_Scenario 1].[Month_Index].&amp;[3]"/>
            <x15:cachedUniqueName index="3" name="[CF_Scenario 1].[Month_Index].&amp;[4]"/>
            <x15:cachedUniqueName index="4" name="[CF_Scenario 1].[Month_Index].&amp;[5]"/>
            <x15:cachedUniqueName index="5" name="[CF_Scenario 1].[Month_Index].&amp;[6]"/>
            <x15:cachedUniqueName index="6" name="[CF_Scenario 1].[Month_Index].&amp;[7]"/>
            <x15:cachedUniqueName index="7" name="[CF_Scenario 1].[Month_Index].&amp;[8]"/>
            <x15:cachedUniqueName index="8" name="[CF_Scenario 1].[Month_Index].&amp;[9]"/>
            <x15:cachedUniqueName index="9" name="[CF_Scenario 1].[Month_Index].&amp;[10]"/>
            <x15:cachedUniqueName index="10" name="[CF_Scenario 1].[Month_Index].&amp;[11]"/>
            <x15:cachedUniqueName index="11" name="[CF_Scenario 1].[Month_Index].&amp;[12]"/>
          </x15:cachedUniqueNames>
        </ext>
      </extLst>
    </cacheField>
    <cacheField name="[CF_Scenario 1].[Month_Start].[Month_Start]" caption="Month_Start" numFmtId="0" hierarchy="19" level="1">
      <sharedItems containsSemiMixedTypes="0" containsNonDate="0" containsDate="1" containsString="0" minDate="2025-01-01T00:00:00" maxDate="2025-12-02T00:00:00" count="12"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</sharedItems>
    </cacheField>
    <cacheField name="[Measures].[以下项目的总和:AFFO]" caption="以下项目的总和:AFFO" numFmtId="0" hierarchy="46" level="32767"/>
    <cacheField name="[Measures].[以下项目的总和:Interest_Expense]" caption="以下项目的总和:Interest_Expense" numFmtId="0" hierarchy="47" level="32767"/>
    <cacheField name="[Measures].[以下项目的总和:NOI]" caption="以下项目的总和:NOI" numFmtId="0" hierarchy="48" level="32767"/>
    <cacheField name="[Measures].[以下项目的总和:LC_Amort]" caption="以下项目的总和:LC_Amort" numFmtId="0" hierarchy="49" level="32767"/>
    <cacheField name="[Measures].[以下项目的总和:TI_Amort]" caption="以下项目的总和:TI_Amort" numFmtId="0" hierarchy="50" level="32767"/>
    <cacheField name="[Measures].[以下项目的总和:NOI_pre_Amort]" caption="以下项目的总和:NOI_pre_Amort" numFmtId="0" hierarchy="41" level="32767"/>
    <cacheField name="[Measures].[以下项目的总和:Bad_Debt]" caption="以下项目的总和:Bad_Debt" numFmtId="0" hierarchy="42" level="32767"/>
    <cacheField name="[Measures].[以下项目的总和:Recoveries]" caption="以下项目的总和:Recoveries" numFmtId="0" hierarchy="43" level="32767"/>
    <cacheField name="[Measures].[以下项目的总和:OpEx]" caption="以下项目的总和:OpEx" numFmtId="0" hierarchy="44" level="32767"/>
    <cacheField name="[Measures].[以下项目的总和:Expense_psf_pa]" caption="以下项目的总和:Expense_psf_pa" numFmtId="0" hierarchy="45" level="32767"/>
    <cacheField name="[Measures].[以下项目的总和:Base_Rent]" caption="以下项目的总和:Base_Rent" numFmtId="0" hierarchy="51" level="32767"/>
    <cacheField name="[Measures].[以下项目的总和:Rent_psf_pa]" caption="以下项目的总和:Rent_psf_pa" numFmtId="0" hierarchy="52" level="32767"/>
    <cacheField name="[Measures].[以下项目的总和:FreeRent]" caption="以下项目的总和:FreeRent" numFmtId="0" hierarchy="53" level="32767"/>
    <cacheField name="[Measures].[以下项目的总和:Occupied]" caption="以下项目的总和:Occupied" numFmtId="0" hierarchy="54" level="32767"/>
  </cacheFields>
  <cacheHierarchies count="55">
    <cacheHierarchy uniqueName="[CF_Scenario].[Month_Index]" caption="Month_Index" attribute="1" defaultMemberUniqueName="[CF_Scenario].[Month_Index].[All]" allUniqueName="[CF_Scenario].[Month_Index].[All]" dimensionUniqueName="[CF_Scenario]" displayFolder="" count="0" memberValueDatatype="20" unbalanced="0"/>
    <cacheHierarchy uniqueName="[CF_Scenario].[Month_Start]" caption="Month_Start" attribute="1" time="1" defaultMemberUniqueName="[CF_Scenario].[Month_Start].[All]" allUniqueName="[CF_Scenario].[Month_Start].[All]" dimensionUniqueName="[CF_Scenario]" displayFolder="" count="0" memberValueDatatype="7" unbalanced="0"/>
    <cacheHierarchy uniqueName="[CF_Scenario].[Occupied]" caption="Occupied" attribute="1" defaultMemberUniqueName="[CF_Scenario].[Occupied].[All]" allUniqueName="[CF_Scenario].[Occupied].[All]" dimensionUniqueName="[CF_Scenario]" displayFolder="" count="0" memberValueDatatype="20" unbalanced="0"/>
    <cacheHierarchy uniqueName="[CF_Scenario].[FreeRent]" caption="FreeRent" attribute="1" defaultMemberUniqueName="[CF_Scenario].[FreeRent].[All]" allUniqueName="[CF_Scenario].[FreeRent].[All]" dimensionUniqueName="[CF_Scenario]" displayFolder="" count="0" memberValueDatatype="20" unbalanced="0"/>
    <cacheHierarchy uniqueName="[CF_Scenario].[Rent_psf_pa]" caption="Rent_psf_pa" attribute="1" defaultMemberUniqueName="[CF_Scenario].[Rent_psf_pa].[All]" allUniqueName="[CF_Scenario].[Rent_psf_pa].[All]" dimensionUniqueName="[CF_Scenario]" displayFolder="" count="0" memberValueDatatype="5" unbalanced="0"/>
    <cacheHierarchy uniqueName="[CF_Scenario].[Base_Rent]" caption="Base_Rent" attribute="1" defaultMemberUniqueName="[CF_Scenario].[Base_Rent].[All]" allUniqueName="[CF_Scenario].[Base_Rent].[All]" dimensionUniqueName="[CF_Scenario]" displayFolder="" count="0" memberValueDatatype="5" unbalanced="0"/>
    <cacheHierarchy uniqueName="[CF_Scenario].[Expense_psf_pa]" caption="Expense_psf_pa" attribute="1" defaultMemberUniqueName="[CF_Scenario].[Expense_psf_pa].[All]" allUniqueName="[CF_Scenario].[Expense_psf_pa].[All]" dimensionUniqueName="[CF_Scenario]" displayFolder="" count="0" memberValueDatatype="5" unbalanced="0"/>
    <cacheHierarchy uniqueName="[CF_Scenario].[OpEx]" caption="OpEx" attribute="1" defaultMemberUniqueName="[CF_Scenario].[OpEx].[All]" allUniqueName="[CF_Scenario].[OpEx].[All]" dimensionUniqueName="[CF_Scenario]" displayFolder="" count="0" memberValueDatatype="5" unbalanced="0"/>
    <cacheHierarchy uniqueName="[CF_Scenario].[Recoveries]" caption="Recoveries" attribute="1" defaultMemberUniqueName="[CF_Scenario].[Recoveries].[All]" allUniqueName="[CF_Scenario].[Recoveries].[All]" dimensionUniqueName="[CF_Scenario]" displayFolder="" count="0" memberValueDatatype="5" unbalanced="0"/>
    <cacheHierarchy uniqueName="[CF_Scenario].[Bad_Debt]" caption="Bad_Debt" attribute="1" defaultMemberUniqueName="[CF_Scenario].[Bad_Debt].[All]" allUniqueName="[CF_Scenario].[Bad_Debt].[All]" dimensionUniqueName="[CF_Scenario]" displayFolder="" count="0" memberValueDatatype="5" unbalanced="0"/>
    <cacheHierarchy uniqueName="[CF_Scenario].[NOI_pre_Amort]" caption="NOI_pre_Amort" attribute="1" defaultMemberUniqueName="[CF_Scenario].[NOI_pre_Amort].[All]" allUniqueName="[CF_Scenario].[NOI_pre_Amort].[All]" dimensionUniqueName="[CF_Scenario]" displayFolder="" count="0" memberValueDatatype="5" unbalanced="0"/>
    <cacheHierarchy uniqueName="[CF_Scenario].[TI_Amort]" caption="TI_Amort" attribute="1" defaultMemberUniqueName="[CF_Scenario].[TI_Amort].[All]" allUniqueName="[CF_Scenario].[TI_Amort].[All]" dimensionUniqueName="[CF_Scenario]" displayFolder="" count="0" memberValueDatatype="5" unbalanced="0"/>
    <cacheHierarchy uniqueName="[CF_Scenario].[LC_Amort]" caption="LC_Amort" attribute="1" defaultMemberUniqueName="[CF_Scenario].[LC_Amort].[All]" allUniqueName="[CF_Scenario].[LC_Amort].[All]" dimensionUniqueName="[CF_Scenario]" displayFolder="" count="0" memberValueDatatype="5" unbalanced="0"/>
    <cacheHierarchy uniqueName="[CF_Scenario].[NOI]" caption="NOI" attribute="1" defaultMemberUniqueName="[CF_Scenario].[NOI].[All]" allUniqueName="[CF_Scenario].[NOI].[All]" dimensionUniqueName="[CF_Scenario]" displayFolder="" count="0" memberValueDatatype="5" unbalanced="0"/>
    <cacheHierarchy uniqueName="[CF_Scenario].[Interest_Expense]" caption="Interest_Expense" attribute="1" defaultMemberUniqueName="[CF_Scenario].[Interest_Expense].[All]" allUniqueName="[CF_Scenario].[Interest_Expense].[All]" dimensionUniqueName="[CF_Scenario]" displayFolder="" count="0" memberValueDatatype="5" unbalanced="0"/>
    <cacheHierarchy uniqueName="[CF_Scenario].[AFFO]" caption="AFFO" attribute="1" defaultMemberUniqueName="[CF_Scenario].[AFFO].[All]" allUniqueName="[CF_Scenario].[AFFO].[All]" dimensionUniqueName="[CF_Scenario]" displayFolder="" count="0" memberValueDatatype="5" unbalanced="0"/>
    <cacheHierarchy uniqueName="[CF_Scenario].[Scenario]" caption="Scenario" attribute="1" defaultMemberUniqueName="[CF_Scenario].[Scenario].[All]" allUniqueName="[CF_Scenario].[Scenario].[All]" dimensionUniqueName="[CF_Scenario]" displayFolder="" count="0" memberValueDatatype="130" unbalanced="0"/>
    <cacheHierarchy uniqueName="[CF_Scenario].[Quarter]" caption="Quarter" attribute="1" defaultMemberUniqueName="[CF_Scenario].[Quarter].[All]" allUniqueName="[CF_Scenario].[Quarter].[All]" dimensionUniqueName="[CF_Scenario]" displayFolder="" count="0" memberValueDatatype="130" unbalanced="0"/>
    <cacheHierarchy uniqueName="[CF_Scenario 1].[Month_Index]" caption="Month_Index" attribute="1" defaultMemberUniqueName="[CF_Scenario 1].[Month_Index].[All]" allUniqueName="[CF_Scenario 1].[Month_Index].[All]" dimensionUniqueName="[CF_Scenario 1]" displayFolder="" count="2" memberValueDatatype="20" unbalanced="0">
      <fieldsUsage count="2">
        <fieldUsage x="-1"/>
        <fieldUsage x="1"/>
      </fieldsUsage>
    </cacheHierarchy>
    <cacheHierarchy uniqueName="[CF_Scenario 1].[Month_Start]" caption="Month_Start" attribute="1" time="1" defaultMemberUniqueName="[CF_Scenario 1].[Month_Start].[All]" allUniqueName="[CF_Scenario 1].[Month_Start].[All]" dimensionUniqueName="[CF_Scenario 1]" displayFolder="" count="2" memberValueDatatype="7" unbalanced="0">
      <fieldsUsage count="2">
        <fieldUsage x="-1"/>
        <fieldUsage x="2"/>
      </fieldsUsage>
    </cacheHierarchy>
    <cacheHierarchy uniqueName="[CF_Scenario 1].[Occupied]" caption="Occupied" attribute="1" defaultMemberUniqueName="[CF_Scenario 1].[Occupied].[All]" allUniqueName="[CF_Scenario 1].[Occupied].[All]" dimensionUniqueName="[CF_Scenario 1]" displayFolder="" count="0" memberValueDatatype="20" unbalanced="0"/>
    <cacheHierarchy uniqueName="[CF_Scenario 1].[FreeRent]" caption="FreeRent" attribute="1" defaultMemberUniqueName="[CF_Scenario 1].[FreeRent].[All]" allUniqueName="[CF_Scenario 1].[FreeRent].[All]" dimensionUniqueName="[CF_Scenario 1]" displayFolder="" count="0" memberValueDatatype="20" unbalanced="0"/>
    <cacheHierarchy uniqueName="[CF_Scenario 1].[Rent_psf_pa]" caption="Rent_psf_pa" attribute="1" defaultMemberUniqueName="[CF_Scenario 1].[Rent_psf_pa].[All]" allUniqueName="[CF_Scenario 1].[Rent_psf_pa].[All]" dimensionUniqueName="[CF_Scenario 1]" displayFolder="" count="0" memberValueDatatype="5" unbalanced="0"/>
    <cacheHierarchy uniqueName="[CF_Scenario 1].[Base_Rent]" caption="Base_Rent" attribute="1" defaultMemberUniqueName="[CF_Scenario 1].[Base_Rent].[All]" allUniqueName="[CF_Scenario 1].[Base_Rent].[All]" dimensionUniqueName="[CF_Scenario 1]" displayFolder="" count="0" memberValueDatatype="5" unbalanced="0"/>
    <cacheHierarchy uniqueName="[CF_Scenario 1].[Expense_psf_pa]" caption="Expense_psf_pa" attribute="1" defaultMemberUniqueName="[CF_Scenario 1].[Expense_psf_pa].[All]" allUniqueName="[CF_Scenario 1].[Expense_psf_pa].[All]" dimensionUniqueName="[CF_Scenario 1]" displayFolder="" count="0" memberValueDatatype="5" unbalanced="0"/>
    <cacheHierarchy uniqueName="[CF_Scenario 1].[OpEx]" caption="OpEx" attribute="1" defaultMemberUniqueName="[CF_Scenario 1].[OpEx].[All]" allUniqueName="[CF_Scenario 1].[OpEx].[All]" dimensionUniqueName="[CF_Scenario 1]" displayFolder="" count="0" memberValueDatatype="5" unbalanced="0"/>
    <cacheHierarchy uniqueName="[CF_Scenario 1].[Recoveries]" caption="Recoveries" attribute="1" defaultMemberUniqueName="[CF_Scenario 1].[Recoveries].[All]" allUniqueName="[CF_Scenario 1].[Recoveries].[All]" dimensionUniqueName="[CF_Scenario 1]" displayFolder="" count="0" memberValueDatatype="5" unbalanced="0"/>
    <cacheHierarchy uniqueName="[CF_Scenario 1].[Bad_Debt]" caption="Bad_Debt" attribute="1" defaultMemberUniqueName="[CF_Scenario 1].[Bad_Debt].[All]" allUniqueName="[CF_Scenario 1].[Bad_Debt].[All]" dimensionUniqueName="[CF_Scenario 1]" displayFolder="" count="0" memberValueDatatype="5" unbalanced="0"/>
    <cacheHierarchy uniqueName="[CF_Scenario 1].[NOI_pre_Amort]" caption="NOI_pre_Amort" attribute="1" defaultMemberUniqueName="[CF_Scenario 1].[NOI_pre_Amort].[All]" allUniqueName="[CF_Scenario 1].[NOI_pre_Amort].[All]" dimensionUniqueName="[CF_Scenario 1]" displayFolder="" count="0" memberValueDatatype="5" unbalanced="0"/>
    <cacheHierarchy uniqueName="[CF_Scenario 1].[TI_Amort]" caption="TI_Amort" attribute="1" defaultMemberUniqueName="[CF_Scenario 1].[TI_Amort].[All]" allUniqueName="[CF_Scenario 1].[TI_Amort].[All]" dimensionUniqueName="[CF_Scenario 1]" displayFolder="" count="0" memberValueDatatype="5" unbalanced="0"/>
    <cacheHierarchy uniqueName="[CF_Scenario 1].[LC_Amort]" caption="LC_Amort" attribute="1" defaultMemberUniqueName="[CF_Scenario 1].[LC_Amort].[All]" allUniqueName="[CF_Scenario 1].[LC_Amort].[All]" dimensionUniqueName="[CF_Scenario 1]" displayFolder="" count="0" memberValueDatatype="5" unbalanced="0"/>
    <cacheHierarchy uniqueName="[CF_Scenario 1].[NOI]" caption="NOI" attribute="1" defaultMemberUniqueName="[CF_Scenario 1].[NOI].[All]" allUniqueName="[CF_Scenario 1].[NOI].[All]" dimensionUniqueName="[CF_Scenario 1]" displayFolder="" count="0" memberValueDatatype="5" unbalanced="0"/>
    <cacheHierarchy uniqueName="[CF_Scenario 1].[Interest_Expense]" caption="Interest_Expense" attribute="1" defaultMemberUniqueName="[CF_Scenario 1].[Interest_Expense].[All]" allUniqueName="[CF_Scenario 1].[Interest_Expense].[All]" dimensionUniqueName="[CF_Scenario 1]" displayFolder="" count="0" memberValueDatatype="5" unbalanced="0"/>
    <cacheHierarchy uniqueName="[CF_Scenario 1].[AFFO]" caption="AFFO" attribute="1" defaultMemberUniqueName="[CF_Scenario 1].[AFFO].[All]" allUniqueName="[CF_Scenario 1].[AFFO].[All]" dimensionUniqueName="[CF_Scenario 1]" displayFolder="" count="0" memberValueDatatype="5" unbalanced="0"/>
    <cacheHierarchy uniqueName="[CF_Scenario 1].[Scenario]" caption="Scenario" attribute="1" defaultMemberUniqueName="[CF_Scenario 1].[Scenario].[All]" allUniqueName="[CF_Scenario 1].[Scenario].[All]" dimensionUniqueName="[CF_Scenario 1]" displayFolder="" count="2" memberValueDatatype="130" unbalanced="0">
      <fieldsUsage count="2">
        <fieldUsage x="-1"/>
        <fieldUsage x="0"/>
      </fieldsUsage>
    </cacheHierarchy>
    <cacheHierarchy uniqueName="[CF_Scenario 1].[Quarter]" caption="Quarter" attribute="1" defaultMemberUniqueName="[CF_Scenario 1].[Quarter].[All]" allUniqueName="[CF_Scenario 1].[Quarter].[All]" dimensionUniqueName="[CF_Scenario 1]" displayFolder="" count="0" memberValueDatatype="130" unbalanced="0"/>
    <cacheHierarchy uniqueName="[CF_Scenario 1].[Month_Start (月)]" caption="Month_Start (月)" attribute="1" defaultMemberUniqueName="[CF_Scenario 1].[Month_Start (月)].[All]" allUniqueName="[CF_Scenario 1].[Month_Start (月)].[All]" dimensionUniqueName="[CF_Scenario 1]" displayFolder="" count="0" memberValueDatatype="130" unbalanced="0"/>
    <cacheHierarchy uniqueName="[CF_Scenario 1].[Month_Start (月索引)]" caption="Month_Start (月索引)" attribute="1" defaultMemberUniqueName="[CF_Scenario 1].[Month_Start (月索引)].[All]" allUniqueName="[CF_Scenario 1].[Month_Start (月索引)].[All]" dimensionUniqueName="[CF_Scenario 1]" displayFolder="" count="0" memberValueDatatype="20" unbalanced="0" hidden="1"/>
    <cacheHierarchy uniqueName="[Measures].[__XL_Count CF_Scenario]" caption="__XL_Count CF_Scenario" measure="1" displayFolder="" measureGroup="CF_Scenario" count="0" hidden="1"/>
    <cacheHierarchy uniqueName="[Measures].[__XL_Count CF_Scenario 1]" caption="__XL_Count CF_Scenario 1" measure="1" displayFolder="" measureGroup="CF_Scenario 1" count="0" hidden="1"/>
    <cacheHierarchy uniqueName="[Measures].[__未定义度量值]" caption="__未定义度量值" measure="1" displayFolder="" count="0" hidden="1"/>
    <cacheHierarchy uniqueName="[Measures].[以下项目的总和:NOI_pre_Amort]" caption="以下项目的总和:NOI_pre_Amort" measure="1" displayFolder="" measureGroup="CF_Scenario 1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以下项目的总和:Bad_Debt]" caption="以下项目的总和:Bad_Debt" measure="1" displayFolder="" measureGroup="CF_Scenario 1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以下项目的总和:Recoveries]" caption="以下项目的总和:Recoveries" measure="1" displayFolder="" measureGroup="CF_Scenario 1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以下项目的总和:OpEx]" caption="以下项目的总和:OpEx" measure="1" displayFolder="" measureGroup="CF_Scenario 1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以下项目的总和:Expense_psf_pa]" caption="以下项目的总和:Expense_psf_pa" measure="1" displayFolder="" measureGroup="CF_Scenario 1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以下项目的总和:AFFO]" caption="以下项目的总和:AFFO" measure="1" displayFolder="" measureGroup="CF_Scenario 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以下项目的总和:Interest_Expense]" caption="以下项目的总和:Interest_Expense" measure="1" displayFolder="" measureGroup="CF_Scenario 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以下项目的总和:NOI]" caption="以下项目的总和:NOI" measure="1" displayFolder="" measureGroup="CF_Scenario 1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以下项目的总和:LC_Amort]" caption="以下项目的总和:LC_Amort" measure="1" displayFolder="" measureGroup="CF_Scenario 1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以下项目的总和:TI_Amort]" caption="以下项目的总和:TI_Amort" measure="1" displayFolder="" measureGroup="CF_Scenario 1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以下项目的总和:Base_Rent]" caption="以下项目的总和:Base_Rent" measure="1" displayFolder="" measureGroup="CF_Scenario 1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以下项目的总和:Rent_psf_pa]" caption="以下项目的总和:Rent_psf_pa" measure="1" displayFolder="" measureGroup="CF_Scenario 1" count="0" oneField="1" hidden="1">
      <fieldsUsage count="1">
        <fieldUsage x="14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以下项目的总和:FreeRent]" caption="以下项目的总和:FreeRent" measure="1" displayFolder="" measureGroup="CF_Scenario 1" count="0" oneField="1" hidden="1">
      <fieldsUsage count="1">
        <fieldUsage x="1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以下项目的总和:Occupied]" caption="以下项目的总和:Occupied" measure="1" displayFolder="" measureGroup="CF_Scenario 1" count="0" oneField="1" hidden="1">
      <fieldsUsage count="1">
        <fieldUsage x="16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3">
    <dimension name="CF_Scenario" uniqueName="[CF_Scenario]" caption="CF_Scenario"/>
    <dimension name="CF_Scenario 1" uniqueName="[CF_Scenario 1]" caption="CF_Scenario 1"/>
    <dimension measure="1" name="Measures" uniqueName="[Measures]" caption="Measures"/>
  </dimensions>
  <measureGroups count="2">
    <measureGroup name="CF_Scenario" caption="CF_Scenario"/>
    <measureGroup name="CF_Scenario 1" caption="CF_Scenario 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07C162-EC44-4E73-8AC4-7F4068A3DD30}" name="数据透视表7" cacheId="412" applyNumberFormats="0" applyBorderFormats="0" applyFontFormats="0" applyPatternFormats="0" applyAlignmentFormats="0" applyWidthHeightFormats="1" dataCaption="值" grandTotalCaption="Grand Total" tag="10091a74-13e2-44a2-9a4f-2249587ed7de" updatedVersion="8" minRefreshableVersion="3" useAutoFormatting="1" subtotalHiddenItems="1" itemPrintTitles="1" createdVersion="8" indent="0" showHeaders="0" compact="0" compactData="0" gridDropZones="1" multipleFieldFilters="0">
  <location ref="S21:AH27" firstHeaderRow="1" firstDataRow="3" firstDataCol="1"/>
  <pivotFields count="5">
    <pivotField axis="axisRow" subtotalCaption="? Total" compact="0" allDrilled="1" outline="0" subtotalTop="0" showAll="0">
      <items count="4">
        <item x="0" e="0"/>
        <item x="2" e="0"/>
        <item x="1" e="0"/>
        <item t="default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NOI_pre_Amort" fld="3" baseField="0" baseItem="0" numFmtId="180"/>
    <dataField name="NOI" fld="2" baseField="0" baseItem="0" numFmtId="180"/>
    <dataField name="AFFO" fld="1" baseField="0" baseItem="0" numFmtId="180"/>
  </dataFields>
  <formats count="23">
    <format dxfId="22">
      <pivotArea type="all" dataOnly="0" outline="0" fieldPosition="0"/>
    </format>
    <format dxfId="21">
      <pivotArea outline="0" collapsedLevelsAreSubtotals="1" fieldPosition="0"/>
    </format>
    <format dxfId="20">
      <pivotArea type="origin" dataOnly="0" labelOnly="1" outline="0" fieldPosition="0"/>
    </format>
    <format dxfId="19">
      <pivotArea type="topRight" dataOnly="0" labelOnly="1" outline="0" fieldPosition="0"/>
    </format>
    <format dxfId="18">
      <pivotArea dataOnly="0" labelOnly="1" outline="0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outline="0" fieldPosition="0">
        <references count="1">
          <reference field="4294967294" count="1">
            <x v="2"/>
          </reference>
        </references>
      </pivotArea>
    </format>
    <format dxfId="14">
      <pivotArea dataOnly="0" outline="0" fieldPosition="0">
        <references count="1">
          <reference field="0" count="0" defaultSubtotal="1"/>
        </references>
      </pivotArea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">
      <pivotArea outline="0" fieldPosition="0">
        <references count="1">
          <reference field="4294967294" count="1">
            <x v="1"/>
          </reference>
        </references>
      </pivotArea>
    </format>
    <format dxfId="9">
      <pivotArea outline="0" fieldPosition="0">
        <references count="1">
          <reference field="4294967294" count="1">
            <x v="0"/>
          </reference>
        </references>
      </pivotArea>
    </format>
    <format dxfId="8">
      <pivotArea dataOnly="0" outline="0" fieldPosition="0">
        <references count="1">
          <reference field="0" count="0" defaultSubtotal="1"/>
        </references>
      </pivotArea>
    </format>
    <format dxfId="7">
      <pivotArea dataOnly="0" labelOnly="1" outline="0" fieldPosition="0">
        <references count="1">
          <reference field="4" count="0"/>
        </references>
      </pivotArea>
    </format>
    <format dxfId="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" count="0"/>
        </references>
      </pivotArea>
    </format>
    <format dxfId="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</format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NOI_pre_Amort"/>
    <pivotHierarchy dragToData="1" caption="Bad_Debt"/>
    <pivotHierarchy dragToData="1" caption="Recoveries"/>
    <pivotHierarchy dragToData="1" caption="OpEx"/>
    <pivotHierarchy dragToData="1" caption="Expense_psf_pa"/>
    <pivotHierarchy dragToData="1" caption="AFFO"/>
    <pivotHierarchy dragToData="1" caption="Interest_Expense"/>
    <pivotHierarchy dragToData="1" caption="NOI"/>
    <pivotHierarchy dragToData="1" caption="LC_Amort"/>
    <pivotHierarchy dragToData="1" caption="TI_Amort"/>
    <pivotHierarchy dragToData="1" caption="Base_Rent"/>
    <pivotHierarchy dragToData="1" caption="Rent_psf_pa"/>
    <pivotHierarchy dragToData="1" caption="FreeRent"/>
    <pivotHierarchy dragToData="1" caption="Occupied"/>
  </pivotHierarchies>
  <pivotTableStyleInfo name="PivotStyleLight16" showRowHeaders="1" showColHeaders="1" showRowStripes="0" showColStripes="0" showLastColumn="1"/>
  <rowHierarchiesUsage count="1">
    <rowHierarchyUsage hierarchyUsage="34"/>
  </rowHierarchiesUsage>
  <colHierarchiesUsage count="2">
    <colHierarchyUsage hierarchyUsage="35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查询 - CF_Scenario1">
        <x15:activeTabTopLevelEntity name="[CF_Scenario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13127E-8F74-4728-A6D5-80E77CF25986}" name="数据透视表4" cacheId="413" applyNumberFormats="0" applyBorderFormats="0" applyFontFormats="0" applyPatternFormats="0" applyAlignmentFormats="0" applyWidthHeightFormats="1" dataCaption="值" grandTotalCaption="Grand Total" tag="bd7e76ef-c13f-4b5b-8e16-10e1caa63d73" updatedVersion="8" minRefreshableVersion="3" useAutoFormatting="1" subtotalHiddenItems="1" itemPrintTitles="1" createdVersion="8" indent="0" showHeaders="0" compact="0" compactData="0" gridDropZones="1" multipleFieldFilters="0">
  <location ref="A22:Q39" firstHeaderRow="1" firstDataRow="2" firstDataCol="3"/>
  <pivotFields count="17">
    <pivotField axis="axisRow" subtotalCaption="? Total" compact="0" allDrilled="1" outline="0" subtotalTop="0" showAll="0">
      <items count="4">
        <item x="0" e="0"/>
        <item x="2" e="0"/>
        <item x="1"/>
        <item t="default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0"/>
    <field x="1"/>
    <field x="2"/>
  </rowFields>
  <rowItems count="16">
    <i>
      <x/>
    </i>
    <i>
      <x v="1"/>
    </i>
    <i>
      <x v="2"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 r="1">
      <x v="10"/>
      <x v="10"/>
    </i>
    <i r="1">
      <x v="11"/>
      <x v="11"/>
    </i>
    <i t="default">
      <x v="2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dataFields count="14">
    <dataField name="Occupied" fld="16" baseField="2" baseItem="0"/>
    <dataField name="FreeRent" fld="15" baseField="0" baseItem="0"/>
    <dataField name="Rent_psf_pa" fld="14" baseField="2" baseItem="5" numFmtId="180"/>
    <dataField name="Base_Rent" fld="13" baseField="2" baseItem="2" numFmtId="180"/>
    <dataField name="Expense_psf_pa" fld="12" baseField="2" baseItem="4" numFmtId="180"/>
    <dataField name="OpEx" fld="11" baseField="2" baseItem="4" numFmtId="180"/>
    <dataField name="Recoveries" fld="10" baseField="2" baseItem="4" numFmtId="180"/>
    <dataField name="Bad_Debt" fld="9" baseField="2" baseItem="6" numFmtId="180"/>
    <dataField name="NOI_pre_Amort" fld="8" baseField="2" baseItem="5" numFmtId="180"/>
    <dataField name="TI_Amort" fld="7" baseField="2" baseItem="6" numFmtId="180"/>
    <dataField name="LC_Amort" fld="6" baseField="2" baseItem="2" numFmtId="180"/>
    <dataField name="NOI" fld="5" baseField="2" baseItem="5" numFmtId="180"/>
    <dataField name="Interest_Expense" fld="4" baseField="2" baseItem="1" numFmtId="180"/>
    <dataField name="AFFO" fld="3" baseField="2" baseItem="7" numFmtId="180"/>
  </dataFields>
  <formats count="77">
    <format dxfId="9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8">
      <pivotArea type="all" dataOnly="0" outline="0" fieldPosition="0"/>
    </format>
    <format dxfId="97">
      <pivotArea outline="0" collapsedLevelsAreSubtotals="1" fieldPosition="0"/>
    </format>
    <format dxfId="96">
      <pivotArea type="origin" dataOnly="0" labelOnly="1" outline="0" fieldPosition="0"/>
    </format>
    <format dxfId="95">
      <pivotArea type="topRight" dataOnly="0" labelOnly="1" outline="0" fieldPosition="0"/>
    </format>
    <format dxfId="94">
      <pivotArea dataOnly="0" labelOnly="1" outline="0" fieldPosition="0">
        <references count="1">
          <reference field="0" count="0"/>
        </references>
      </pivotArea>
    </format>
    <format dxfId="93">
      <pivotArea dataOnly="0" labelOnly="1" grandRow="1" outline="0" fieldPosition="0"/>
    </format>
    <format dxfId="92">
      <pivotArea dataOnly="0" labelOnly="1" outline="0" fieldPosition="0">
        <references count="2">
          <reference field="0" count="1" selected="0">
            <x v="0"/>
          </reference>
          <reference field="1" count="0"/>
        </references>
      </pivotArea>
    </format>
    <format dxfId="91">
      <pivotArea dataOnly="0" labelOnly="1" outline="0" fieldPosition="0">
        <references count="2">
          <reference field="0" count="1" selected="0">
            <x v="1"/>
          </reference>
          <reference field="1" count="0"/>
        </references>
      </pivotArea>
    </format>
    <format dxfId="90">
      <pivotArea dataOnly="0" labelOnly="1" outline="0" fieldPosition="0">
        <references count="2">
          <reference field="0" count="1" selected="0">
            <x v="2"/>
          </reference>
          <reference field="1" count="0"/>
        </references>
      </pivotArea>
    </format>
    <format dxfId="89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88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1"/>
          </reference>
          <reference field="2" count="1">
            <x v="1"/>
          </reference>
        </references>
      </pivotArea>
    </format>
    <format dxfId="87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86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85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84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83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82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7"/>
          </reference>
          <reference field="2" count="1">
            <x v="7"/>
          </reference>
        </references>
      </pivotArea>
    </format>
    <format dxfId="81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8"/>
          </reference>
          <reference field="2" count="1">
            <x v="8"/>
          </reference>
        </references>
      </pivotArea>
    </format>
    <format dxfId="80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9"/>
          </reference>
          <reference field="2" count="1">
            <x v="9"/>
          </reference>
        </references>
      </pivotArea>
    </format>
    <format dxfId="79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10"/>
          </reference>
          <reference field="2" count="1">
            <x v="10"/>
          </reference>
        </references>
      </pivotArea>
    </format>
    <format dxfId="78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11"/>
          </reference>
          <reference field="2" count="1">
            <x v="11"/>
          </reference>
        </references>
      </pivotArea>
    </format>
    <format dxfId="77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76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1"/>
          </reference>
          <reference field="2" count="1">
            <x v="1"/>
          </reference>
        </references>
      </pivotArea>
    </format>
    <format dxfId="75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74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73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72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71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70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7"/>
          </reference>
          <reference field="2" count="1">
            <x v="7"/>
          </reference>
        </references>
      </pivotArea>
    </format>
    <format dxfId="69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8"/>
          </reference>
          <reference field="2" count="1">
            <x v="8"/>
          </reference>
        </references>
      </pivotArea>
    </format>
    <format dxfId="68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9"/>
          </reference>
          <reference field="2" count="1">
            <x v="9"/>
          </reference>
        </references>
      </pivotArea>
    </format>
    <format dxfId="67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10"/>
          </reference>
          <reference field="2" count="1">
            <x v="10"/>
          </reference>
        </references>
      </pivotArea>
    </format>
    <format dxfId="66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11"/>
          </reference>
          <reference field="2" count="1">
            <x v="11"/>
          </reference>
        </references>
      </pivotArea>
    </format>
    <format dxfId="65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64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1"/>
          </reference>
          <reference field="2" count="1">
            <x v="1"/>
          </reference>
        </references>
      </pivotArea>
    </format>
    <format dxfId="63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62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61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60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59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58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7"/>
          </reference>
          <reference field="2" count="1">
            <x v="7"/>
          </reference>
        </references>
      </pivotArea>
    </format>
    <format dxfId="57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8"/>
          </reference>
          <reference field="2" count="1">
            <x v="8"/>
          </reference>
        </references>
      </pivotArea>
    </format>
    <format dxfId="56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9"/>
          </reference>
          <reference field="2" count="1">
            <x v="9"/>
          </reference>
        </references>
      </pivotArea>
    </format>
    <format dxfId="55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10"/>
          </reference>
          <reference field="2" count="1">
            <x v="10"/>
          </reference>
        </references>
      </pivotArea>
    </format>
    <format dxfId="54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11"/>
          </reference>
          <reference field="2" count="1">
            <x v="11"/>
          </reference>
        </references>
      </pivotArea>
    </format>
    <format dxfId="53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52">
      <pivotArea outline="0" fieldPosition="0">
        <references count="1">
          <reference field="4294967294" count="1">
            <x v="13"/>
          </reference>
        </references>
      </pivotArea>
    </format>
    <format dxfId="51">
      <pivotArea outline="0" fieldPosition="0">
        <references count="4">
          <reference field="4294967294" count="1" selected="0">
            <x v="12"/>
          </reference>
          <reference field="0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  <format dxfId="50">
      <pivotArea outline="0" fieldPosition="0">
        <references count="4">
          <reference field="4294967294" count="1" selected="0">
            <x v="11"/>
          </reference>
          <reference field="0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  <format dxfId="49">
      <pivotArea outline="0" fieldPosition="0">
        <references count="4">
          <reference field="4294967294" count="1" selected="0">
            <x v="10"/>
          </reference>
          <reference field="0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  <format dxfId="48">
      <pivotArea outline="0" fieldPosition="0">
        <references count="4">
          <reference field="4294967294" count="1" selected="0">
            <x v="9"/>
          </reference>
          <reference field="0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  <format dxfId="47">
      <pivotArea outline="0" fieldPosition="0">
        <references count="4">
          <reference field="4294967294" count="1" selected="0">
            <x v="8"/>
          </reference>
          <reference field="0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  <format dxfId="46">
      <pivotArea outline="0" fieldPosition="0">
        <references count="4">
          <reference field="4294967294" count="1" selected="0">
            <x v="7"/>
          </reference>
          <reference field="0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  <format dxfId="45">
      <pivotArea outline="0" fieldPosition="0">
        <references count="4">
          <reference field="4294967294" count="1" selected="0">
            <x v="6"/>
          </reference>
          <reference field="0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  <format dxfId="44">
      <pivotArea outline="0" fieldPosition="0">
        <references count="4">
          <reference field="4294967294" count="1" selected="0">
            <x v="5"/>
          </reference>
          <reference field="0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  <format dxfId="43">
      <pivotArea outline="0" fieldPosition="0">
        <references count="4">
          <reference field="4294967294" count="1" selected="0">
            <x v="4"/>
          </reference>
          <reference field="0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  <format dxfId="42">
      <pivotArea outline="0" fieldPosition="0">
        <references count="4">
          <reference field="4294967294" count="1" selected="0">
            <x v="3"/>
          </reference>
          <reference field="0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  <format dxfId="41">
      <pivotArea outline="0" fieldPosition="0">
        <references count="4">
          <reference field="4294967294" count="1" selected="0">
            <x v="2"/>
          </reference>
          <reference field="0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  <format dxfId="40">
      <pivotArea dataOnly="0" outline="0" fieldPosition="0">
        <references count="1">
          <reference field="0" count="0" defaultSubtotal="1"/>
        </references>
      </pivotArea>
    </format>
    <format dxfId="39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38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37">
      <pivotArea outline="0" fieldPosition="0">
        <references count="1">
          <reference field="4294967294" count="1">
            <x v="12"/>
          </reference>
        </references>
      </pivotArea>
    </format>
    <format dxfId="36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35">
      <pivotArea outline="0" fieldPosition="0">
        <references count="4">
          <reference field="4294967294" count="1" selected="0">
            <x v="11"/>
          </reference>
          <reference field="0" count="1" selected="0">
            <x v="0"/>
          </reference>
          <reference field="1" count="1" selected="0">
            <x v="2"/>
          </reference>
          <reference field="2" count="1" selected="0">
            <x v="2"/>
          </reference>
        </references>
      </pivotArea>
    </format>
    <format dxfId="34">
      <pivotArea outline="0" fieldPosition="0">
        <references count="1">
          <reference field="4294967294" count="1">
            <x v="11"/>
          </reference>
        </references>
      </pivotArea>
    </format>
    <format dxfId="33">
      <pivotArea outline="0" fieldPosition="0">
        <references count="1">
          <reference field="4294967294" count="1">
            <x v="10"/>
          </reference>
        </references>
      </pivotArea>
    </format>
    <format dxfId="32">
      <pivotArea outline="0" fieldPosition="0">
        <references count="4">
          <reference field="4294967294" count="1" selected="0">
            <x v="9"/>
          </reference>
          <reference field="0" count="1" selected="0">
            <x v="2"/>
          </reference>
          <reference field="1" count="1" selected="0">
            <x v="4"/>
          </reference>
          <reference field="2" count="1" selected="0">
            <x v="4"/>
          </reference>
        </references>
      </pivotArea>
    </format>
    <format dxfId="31">
      <pivotArea outline="0" fieldPosition="0">
        <references count="1">
          <reference field="4294967294" count="1">
            <x v="9"/>
          </reference>
        </references>
      </pivotArea>
    </format>
    <format dxfId="30">
      <pivotArea outline="0" fieldPosition="0">
        <references count="1">
          <reference field="4294967294" count="1">
            <x v="8"/>
          </reference>
        </references>
      </pivotArea>
    </format>
    <format dxfId="29">
      <pivotArea outline="0" fieldPosition="0">
        <references count="1">
          <reference field="4294967294" count="1">
            <x v="7"/>
          </reference>
        </references>
      </pivotArea>
    </format>
    <format dxfId="28">
      <pivotArea outline="0" fieldPosition="0">
        <references count="1">
          <reference field="4294967294" count="1">
            <x v="6"/>
          </reference>
        </references>
      </pivotArea>
    </format>
    <format dxfId="27">
      <pivotArea outline="0" fieldPosition="0">
        <references count="1">
          <reference field="4294967294" count="1">
            <x v="5"/>
          </reference>
        </references>
      </pivotArea>
    </format>
    <format dxfId="26">
      <pivotArea outline="0" fieldPosition="0">
        <references count="1">
          <reference field="4294967294" count="1">
            <x v="4"/>
          </reference>
        </references>
      </pivotArea>
    </format>
    <format dxfId="25">
      <pivotArea outline="0" fieldPosition="0">
        <references count="1">
          <reference field="4294967294" count="1">
            <x v="3"/>
          </reference>
        </references>
      </pivotArea>
    </format>
    <format dxfId="24">
      <pivotArea outline="0" fieldPosition="0">
        <references count="1">
          <reference field="4294967294" count="1">
            <x v="2"/>
          </reference>
        </references>
      </pivotArea>
    </format>
    <format dxfId="23">
      <pivotArea dataOnly="0" outline="0" fieldPosition="0">
        <references count="1">
          <reference field="0" count="0" defaultSubtotal="1"/>
        </references>
      </pivotArea>
    </format>
  </format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NOI_pre_Amort"/>
    <pivotHierarchy dragToData="1" caption="Bad_Debt"/>
    <pivotHierarchy dragToData="1" caption="Recoveries"/>
    <pivotHierarchy dragToData="1" caption="OpEx"/>
    <pivotHierarchy dragToData="1" caption="Expense_psf_pa"/>
    <pivotHierarchy dragToData="1" caption="AFFO"/>
    <pivotHierarchy dragToData="1" caption="Interest_Expense"/>
    <pivotHierarchy dragToData="1" caption="NOI"/>
    <pivotHierarchy dragToData="1" caption="LC_Amort"/>
    <pivotHierarchy dragToData="1" caption="TI_Amort"/>
    <pivotHierarchy dragToData="1" caption="Base_Rent"/>
    <pivotHierarchy dragToData="1" caption="Rent_psf_pa"/>
    <pivotHierarchy dragToData="1" caption="FreeRent"/>
    <pivotHierarchy dragToData="1" caption="Occupied"/>
  </pivotHierarchies>
  <pivotTableStyleInfo name="PivotStyleLight16" showRowHeaders="1" showColHeaders="1" showRowStripes="0" showColStripes="0" showLastColumn="1"/>
  <rowHierarchiesUsage count="3">
    <rowHierarchyUsage hierarchyUsage="34"/>
    <rowHierarchyUsage hierarchyUsage="18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查询 - CF_Scenario1">
        <x15:activeTabTopLevelEntity name="[CF_Scenario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F17BC102-7632-465C-A287-404083BC3B23}" autoFormatId="16" applyNumberFormats="0" applyBorderFormats="0" applyFontFormats="0" applyPatternFormats="0" applyAlignmentFormats="0" applyWidthHeightFormats="0">
  <queryTableRefresh nextId="21">
    <queryTableFields count="20">
      <queryTableField id="1" name="Month_Index" tableColumnId="1"/>
      <queryTableField id="2" name="Month_Start" tableColumnId="2"/>
      <queryTableField id="3" name="Occupied" tableColumnId="3"/>
      <queryTableField id="4" name="FreeRent" tableColumnId="4"/>
      <queryTableField id="5" name="Rent_psf_pa" tableColumnId="5"/>
      <queryTableField id="6" name="Base_Rent" tableColumnId="6"/>
      <queryTableField id="7" name="Expense_psf_pa" tableColumnId="7"/>
      <queryTableField id="8" name="OpEx" tableColumnId="8"/>
      <queryTableField id="9" name="Recoveries" tableColumnId="9"/>
      <queryTableField id="10" name="Bad_Debt" tableColumnId="10"/>
      <queryTableField id="11" name="NOI_pre_Amort" tableColumnId="11"/>
      <queryTableField id="12" name="TI_Amort" tableColumnId="12"/>
      <queryTableField id="13" name="LC_Amort" tableColumnId="13"/>
      <queryTableField id="14" name="NOI" tableColumnId="14"/>
      <queryTableField id="15" name="Interest_Expense" tableColumnId="15"/>
      <queryTableField id="16" name="AFFO" tableColumnId="16"/>
      <queryTableField id="17" name="Scenario" tableColumnId="17"/>
      <queryTableField id="18" name="Quarter" tableColumnId="18"/>
      <queryTableField id="19" name="Month_Start (月索引)" tableColumnId="19"/>
      <queryTableField id="20" name="Month_Start (月)" tableColumnId="20"/>
    </queryTableFields>
  </queryTableRefresh>
  <extLst>
    <ext xmlns:x15="http://schemas.microsoft.com/office/spreadsheetml/2010/11/main" uri="{883FBD77-0823-4a55-B5E3-86C4891E6966}">
      <x15:queryTable sourceDataName="查询 - CF_Scenario1"/>
    </ext>
  </extLst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F99B9A-D978-4761-9DAC-09FFD1F34730}" name="CF_Base" displayName="CF_Base" ref="A1:R13" totalsRowShown="0" headerRowDxfId="161" dataDxfId="160">
  <autoFilter ref="A1:R13" xr:uid="{05F99B9A-D978-4761-9DAC-09FFD1F34730}"/>
  <tableColumns count="18">
    <tableColumn id="1" xr3:uid="{B9DE46AC-36AE-4FA9-B5B3-5A5B2066E30E}" name="Month_Index" dataDxfId="159">
      <calculatedColumnFormula>Timeline!A2</calculatedColumnFormula>
    </tableColumn>
    <tableColumn id="2" xr3:uid="{9695BAE9-3A24-423C-986E-2BD7825E91F4}" name="Month_Start" dataDxfId="158">
      <calculatedColumnFormula>Timeline!B2</calculatedColumnFormula>
    </tableColumn>
    <tableColumn id="3" xr3:uid="{1A901E3E-B5EA-4AD1-8761-F9D5A9E0B1F6}" name="Occupied" dataDxfId="157"/>
    <tableColumn id="4" xr3:uid="{71B76FF0-2932-4373-83A5-0DDA19D75A62}" name="FreeRent" dataDxfId="156"/>
    <tableColumn id="5" xr3:uid="{29E46E77-B85D-4990-8AB4-87189735C25C}" name="Rent_psf_pa" dataDxfId="155"/>
    <tableColumn id="6" xr3:uid="{5A354215-3BFA-4983-8F91-B628D8F9E9BD}" name="Base_Rent" dataDxfId="154"/>
    <tableColumn id="7" xr3:uid="{B945D4C7-83C0-44D8-ACB2-CEB55E906302}" name="Expense_psf_pa" dataDxfId="153"/>
    <tableColumn id="8" xr3:uid="{45198E23-C759-4372-B82F-EE6D6F32C8D5}" name="OpEx" dataDxfId="152"/>
    <tableColumn id="9" xr3:uid="{3D93F44C-0957-46E0-8138-826AC80EF523}" name="Recoveries" dataDxfId="151"/>
    <tableColumn id="10" xr3:uid="{0467E8F6-4FE4-43FD-91DB-08C1DCD0B0DB}" name="Bad_Debt" dataDxfId="150"/>
    <tableColumn id="11" xr3:uid="{BC40CF46-A959-4164-B24C-CF233D0BCB21}" name="NOI_pre_Amort" dataDxfId="149"/>
    <tableColumn id="12" xr3:uid="{6B5553FD-B338-4B5E-9EE7-1CAC92EAEDED}" name="TI_Amort" dataDxfId="148"/>
    <tableColumn id="13" xr3:uid="{7964CE55-3954-4B26-925F-0BC76842A2EC}" name="LC_Amort" dataDxfId="147"/>
    <tableColumn id="14" xr3:uid="{B0C81357-AAEF-4131-9878-7FC3ED3C508E}" name="NOI" dataDxfId="146"/>
    <tableColumn id="15" xr3:uid="{37F5616A-EEE8-432E-BAA7-A461983EB027}" name="Interest_Expense" dataDxfId="145"/>
    <tableColumn id="16" xr3:uid="{E76E1A28-65DF-4C66-B9C0-50BEFE765177}" name="AFFO" dataDxfId="144"/>
    <tableColumn id="17" xr3:uid="{CE5CC344-5B6F-49EA-8CBB-4653B5005D9B}" name="Scenario" dataDxfId="143"/>
    <tableColumn id="18" xr3:uid="{3A38EEBE-A630-4685-8066-8D8DA43AD452}" name="Quarter" dataDxfId="14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1D1E2B-F827-4C06-A0C5-0DD44DF001B3}" name="CF_Upside" displayName="CF_Upside" ref="A1:R13" totalsRowShown="0" headerRowDxfId="141" dataDxfId="140">
  <autoFilter ref="A1:R13" xr:uid="{221D1E2B-F827-4C06-A0C5-0DD44DF001B3}"/>
  <tableColumns count="18">
    <tableColumn id="1" xr3:uid="{1DF7E246-B7EF-4918-B8AC-118689389B64}" name="Month_Index" dataDxfId="139">
      <calculatedColumnFormula>Timeline!A2</calculatedColumnFormula>
    </tableColumn>
    <tableColumn id="2" xr3:uid="{80DAAE3F-C956-4CE0-AD9E-E7D1B6C645FB}" name="Month_Start" dataDxfId="138">
      <calculatedColumnFormula>Timeline!B2</calculatedColumnFormula>
    </tableColumn>
    <tableColumn id="3" xr3:uid="{6CC4A691-278B-4181-99E7-9A769C603126}" name="Occupied" dataDxfId="137"/>
    <tableColumn id="4" xr3:uid="{24366A4E-93A4-4119-A794-DC5E4DA96465}" name="FreeRent" dataDxfId="136"/>
    <tableColumn id="5" xr3:uid="{DDADC5D7-D5EB-466E-86C5-DB07EFD42A86}" name="Rent_psf_pa" dataDxfId="135"/>
    <tableColumn id="6" xr3:uid="{FE8E0545-E9B7-42AB-AC0C-F7361F0E04E6}" name="Base_Rent" dataDxfId="134"/>
    <tableColumn id="7" xr3:uid="{99D018BD-5A8E-4A79-BDBF-1A8BBCF1E5ED}" name="Expense_psf_pa" dataDxfId="133"/>
    <tableColumn id="8" xr3:uid="{2184E364-552B-4FC6-AD43-E672686050FF}" name="OpEx" dataDxfId="132"/>
    <tableColumn id="9" xr3:uid="{98C2C137-9E4D-4407-A76E-42143B5D0A9C}" name="Recoveries" dataDxfId="131"/>
    <tableColumn id="10" xr3:uid="{26984042-77B0-4D6F-A069-DC89D3F061A6}" name="Bad_Debt" dataDxfId="130"/>
    <tableColumn id="11" xr3:uid="{C45C1ABA-0E57-4A54-AB86-E780BC167CBF}" name="NOI_pre_Amort" dataDxfId="129"/>
    <tableColumn id="12" xr3:uid="{76E46992-898E-412D-8071-FC66DD470E1C}" name="TI_Amort" dataDxfId="128"/>
    <tableColumn id="13" xr3:uid="{B6277105-3DD6-4BDF-B4F1-13A03B50F88B}" name="LC_Amort" dataDxfId="127"/>
    <tableColumn id="14" xr3:uid="{954AE412-61F3-4257-ACBE-0D2EB9B34D98}" name="NOI" dataDxfId="126"/>
    <tableColumn id="15" xr3:uid="{7A7D7F2D-9DCB-4D92-A9CD-ADC70E8673DA}" name="Interest_Expense" dataDxfId="125"/>
    <tableColumn id="16" xr3:uid="{71966E9B-12C5-4352-99B0-BB899DE5851C}" name="AFFO" dataDxfId="124"/>
    <tableColumn id="17" xr3:uid="{17C03B40-09CA-495D-9B3A-0FC708A0FEDE}" name="Scenario" dataDxfId="123"/>
    <tableColumn id="18" xr3:uid="{C82DF2DC-6456-43BA-8EC6-23D9F7AE1333}" name="Quarter" dataDxfId="12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867E39-BF43-4394-86BB-2AE8975AF0E3}" name="CF_Downside" displayName="CF_Downside" ref="A1:R13" totalsRowShown="0" headerRowDxfId="121" dataDxfId="120">
  <autoFilter ref="A1:R13" xr:uid="{B1867E39-BF43-4394-86BB-2AE8975AF0E3}"/>
  <tableColumns count="18">
    <tableColumn id="1" xr3:uid="{D55ACA3C-FDD0-4D04-8314-92D62792AD23}" name="Month_Index" dataDxfId="119">
      <calculatedColumnFormula>Timeline!A2</calculatedColumnFormula>
    </tableColumn>
    <tableColumn id="2" xr3:uid="{AD5592D2-45E5-4E3F-9A9D-ED7700308B15}" name="Month_Start" dataDxfId="118">
      <calculatedColumnFormula>Timeline!B2</calculatedColumnFormula>
    </tableColumn>
    <tableColumn id="3" xr3:uid="{C64A4F19-832F-44F7-9313-1D215AE31B51}" name="Occupied" dataDxfId="117">
      <calculatedColumnFormula>IF(AND(A2&gt;=Inputs!$I$3+1,A2&lt;=Inputs!$I$3+Inputs!$H$3),1,0)</calculatedColumnFormula>
    </tableColumn>
    <tableColumn id="4" xr3:uid="{5E54CF26-04C6-4449-A4D3-064E5171AA63}" name="FreeRent" dataDxfId="116">
      <calculatedColumnFormula>IF(AND(A2&gt;=Inputs!$I$3+1,A2&lt;=Inputs!$I$3+Inputs!$G$3),1,0)</calculatedColumnFormula>
    </tableColumn>
    <tableColumn id="5" xr3:uid="{4595C41A-4510-4CA6-A121-85204003E889}" name="Rent_psf_pa" dataDxfId="115">
      <calculatedColumnFormula>Inputs!$E$3*POWER(1+Inputs!$F$3, (A2-1)/12)</calculatedColumnFormula>
    </tableColumn>
    <tableColumn id="6" xr3:uid="{5772E87E-B216-4041-87EC-02137B387841}" name="Base_Rent" dataDxfId="114">
      <calculatedColumnFormula>C2*(1-D2)*(E2/12)*Inputs!$D$3</calculatedColumnFormula>
    </tableColumn>
    <tableColumn id="7" xr3:uid="{E83CD81C-430F-456A-8FAE-A18551F614A5}" name="Expense_psf_pa" dataDxfId="113">
      <calculatedColumnFormula>Inputs!$J$3*POWER(1+Inputs!$K$3, (A2-1)/12)</calculatedColumnFormula>
    </tableColumn>
    <tableColumn id="8" xr3:uid="{EF327207-FAB3-443A-B57B-0E6CC7A25871}" name="OpEx" dataDxfId="112">
      <calculatedColumnFormula>(G2/12)*Inputs!$D$3</calculatedColumnFormula>
    </tableColumn>
    <tableColumn id="9" xr3:uid="{1932BD34-C6C1-48E1-8B3E-1DBD8447D840}" name="Recoveries" dataDxfId="111">
      <calculatedColumnFormula>C2*Inputs!$L$3*H2</calculatedColumnFormula>
    </tableColumn>
    <tableColumn id="10" xr3:uid="{132D7176-245B-4D5A-9844-DD16B95A8018}" name="Bad_Debt" dataDxfId="110">
      <calculatedColumnFormula>-(F2+I2)*Inputs!$M$3</calculatedColumnFormula>
    </tableColumn>
    <tableColumn id="11" xr3:uid="{82A5B13E-D172-4C47-BC0D-4812C5B1FECA}" name="NOI_pre_Amort" dataDxfId="109">
      <calculatedColumnFormula>F2+I2+J2-H2</calculatedColumnFormula>
    </tableColumn>
    <tableColumn id="12" xr3:uid="{E50984CE-D093-4983-AEAB-D78541A6C746}" name="TI_Amort" dataDxfId="108">
      <calculatedColumnFormula>IF(A2&lt;=Inputs!$P$3*12,-(Inputs!$N$3*Inputs!$D$3)/(Inputs!$P$3*12),0)</calculatedColumnFormula>
    </tableColumn>
    <tableColumn id="13" xr3:uid="{AEECA8AE-B56D-4576-AB94-F97BB563B10B}" name="LC_Amort" dataDxfId="107">
      <calculatedColumnFormula>IF(A2&lt;=Inputs!$Q$3*12,-(Inputs!$O$3*((Inputs!$E$3/12)*Inputs!$D$3*(Inputs!$H$3-Inputs!$G$3)))/(Inputs!$Q$3*12),0)</calculatedColumnFormula>
    </tableColumn>
    <tableColumn id="14" xr3:uid="{B7DD5B88-8593-42B6-BDBE-9BFC003816D0}" name="NOI" dataDxfId="106">
      <calculatedColumnFormula>K2+L2+M2</calculatedColumnFormula>
    </tableColumn>
    <tableColumn id="15" xr3:uid="{32437631-C114-4F1F-AD69-A0F1333CB359}" name="Interest_Expense" dataDxfId="105">
      <calculatedColumnFormula>-( Inputs!$R$3*( Inputs!$U$3*Inputs!$V$3 + (1-Inputs!$U$3)*(Inputs!$S$3+Inputs!$T$3) ) )/12</calculatedColumnFormula>
    </tableColumn>
    <tableColumn id="16" xr3:uid="{3795D844-D51B-40B8-833E-94C95C32CFBD}" name="AFFO" dataDxfId="104">
      <calculatedColumnFormula>N2+O2</calculatedColumnFormula>
    </tableColumn>
    <tableColumn id="17" xr3:uid="{9345E988-42E1-4042-82E9-19271A71BCE8}" name="Scenario" dataDxfId="103"/>
    <tableColumn id="18" xr3:uid="{7B5F17DB-F118-44C8-B29A-45FE8DE2E271}" name="Quarter" dataDxfId="10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ADBAEB1-F470-4B96-9C14-22A8917C9601}" name="CF_Scenario" displayName="CF_Scenario" ref="A1:T37" tableType="queryTable" totalsRowShown="0">
  <autoFilter ref="A1:T37" xr:uid="{EADBAEB1-F470-4B96-9C14-22A8917C9601}"/>
  <tableColumns count="20">
    <tableColumn id="1" xr3:uid="{B59142FD-36FD-4939-851D-22DBC4C8B1DC}" uniqueName="1" name="Month_Index" queryTableFieldId="1"/>
    <tableColumn id="2" xr3:uid="{88B62CE1-C709-4AB3-A1AA-81A3C2372EA8}" uniqueName="2" name="Month_Start" queryTableFieldId="2" dataDxfId="101"/>
    <tableColumn id="3" xr3:uid="{ED01862B-3A67-4984-A1E8-04995246E2F1}" uniqueName="3" name="Occupied" queryTableFieldId="3"/>
    <tableColumn id="4" xr3:uid="{A0AB6068-2C94-4615-81B9-08F5DD93DFFC}" uniqueName="4" name="FreeRent" queryTableFieldId="4"/>
    <tableColumn id="5" xr3:uid="{E936F615-DB5C-4709-8CD4-22D94B6A9A1E}" uniqueName="5" name="Rent_psf_pa" queryTableFieldId="5"/>
    <tableColumn id="6" xr3:uid="{1164D69C-1335-4AD6-B0DF-25B6E2BFBE38}" uniqueName="6" name="Base_Rent" queryTableFieldId="6"/>
    <tableColumn id="7" xr3:uid="{FFE1A978-C30A-4C1E-8EEE-651683EB9333}" uniqueName="7" name="Expense_psf_pa" queryTableFieldId="7"/>
    <tableColumn id="8" xr3:uid="{77AD2830-300F-420A-A435-E81AB7A90E9E}" uniqueName="8" name="OpEx" queryTableFieldId="8"/>
    <tableColumn id="9" xr3:uid="{6382364B-795B-498E-ACA9-71502D83A60E}" uniqueName="9" name="Recoveries" queryTableFieldId="9"/>
    <tableColumn id="10" xr3:uid="{DD3E5571-0BC9-4CD5-9279-E2931679C2FC}" uniqueName="10" name="Bad_Debt" queryTableFieldId="10"/>
    <tableColumn id="11" xr3:uid="{C86F3FD7-311E-4B49-ADA4-D97CD2695128}" uniqueName="11" name="NOI_pre_Amort" queryTableFieldId="11"/>
    <tableColumn id="12" xr3:uid="{0590710A-A21D-4634-A2B5-858FA1E32D03}" uniqueName="12" name="TI_Amort" queryTableFieldId="12"/>
    <tableColumn id="13" xr3:uid="{4A1C0DCE-B0D0-4FB4-BC63-4C6E95894139}" uniqueName="13" name="LC_Amort" queryTableFieldId="13"/>
    <tableColumn id="14" xr3:uid="{3D2F01DC-A4CA-48FA-BE67-B4B5E3273562}" uniqueName="14" name="NOI" queryTableFieldId="14"/>
    <tableColumn id="15" xr3:uid="{B6CABE3E-F776-4FD8-9544-273E8B85995B}" uniqueName="15" name="Interest_Expense" queryTableFieldId="15"/>
    <tableColumn id="16" xr3:uid="{BDC35E3F-2431-4A9B-9DEA-270B58DCBF2E}" uniqueName="16" name="AFFO" queryTableFieldId="16"/>
    <tableColumn id="17" xr3:uid="{694021DF-8ACE-4F21-A204-D6791DD921F4}" uniqueName="17" name="Scenario" queryTableFieldId="17" dataDxfId="100"/>
    <tableColumn id="18" xr3:uid="{962B6A38-BACD-4DE2-9DFE-DC678A5466DA}" uniqueName="18" name="Quarter" queryTableFieldId="18"/>
    <tableColumn id="19" xr3:uid="{6BDEF86C-112A-45AE-8B7A-9FF6C911C8B3}" uniqueName="19" name="Month_Start (月索引)" queryTableFieldId="19"/>
    <tableColumn id="20" xr3:uid="{ECAFB807-A4BC-44EA-AD14-F20DB3CEEA0F}" uniqueName="20" name="Month_Start (月)" queryTableFieldId="2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CF08-AFE3-49A6-AB1F-4F67A0B8F414}">
  <dimension ref="A1:R14"/>
  <sheetViews>
    <sheetView zoomScale="85" zoomScaleNormal="85" workbookViewId="0">
      <selection activeCell="C29" sqref="C29"/>
    </sheetView>
  </sheetViews>
  <sheetFormatPr defaultRowHeight="14.25"/>
  <cols>
    <col min="1" max="1" width="13.46484375" style="1" customWidth="1"/>
    <col min="2" max="2" width="13" style="1" customWidth="1"/>
    <col min="3" max="4" width="10.06640625" style="1" customWidth="1"/>
    <col min="5" max="5" width="12.73046875" style="1" customWidth="1"/>
    <col min="6" max="6" width="11.19921875" style="1" customWidth="1"/>
    <col min="7" max="7" width="15.53125" style="1" customWidth="1"/>
    <col min="8" max="8" width="10.73046875" style="1" customWidth="1"/>
    <col min="9" max="9" width="11.46484375" style="1" customWidth="1"/>
    <col min="10" max="10" width="10.59765625" style="1" customWidth="1"/>
    <col min="11" max="11" width="15.53125" style="1" customWidth="1"/>
    <col min="12" max="13" width="11.33203125" style="1" customWidth="1"/>
    <col min="14" max="14" width="10.6640625" style="1" customWidth="1"/>
    <col min="15" max="15" width="16.73046875" style="1" customWidth="1"/>
    <col min="16" max="16" width="10.6640625" style="1" customWidth="1"/>
    <col min="17" max="17" width="9.46484375" style="1" customWidth="1"/>
    <col min="18" max="16384" width="9.06640625" style="1"/>
  </cols>
  <sheetData>
    <row r="1" spans="1:18" s="6" customFormat="1">
      <c r="A1" s="5" t="s">
        <v>22</v>
      </c>
      <c r="B1" s="5" t="s">
        <v>23</v>
      </c>
      <c r="C1" s="8" t="s">
        <v>24</v>
      </c>
      <c r="D1" s="8" t="s">
        <v>25</v>
      </c>
      <c r="E1" s="8" t="s">
        <v>26</v>
      </c>
      <c r="F1" s="8" t="s">
        <v>27</v>
      </c>
      <c r="G1" s="9" t="s">
        <v>28</v>
      </c>
      <c r="H1" s="9" t="s">
        <v>29</v>
      </c>
      <c r="I1" s="9" t="s">
        <v>30</v>
      </c>
      <c r="J1" s="9" t="s">
        <v>31</v>
      </c>
      <c r="K1" s="7" t="s">
        <v>32</v>
      </c>
      <c r="L1" s="7" t="s">
        <v>33</v>
      </c>
      <c r="M1" s="7" t="s">
        <v>34</v>
      </c>
      <c r="N1" s="7" t="s">
        <v>35</v>
      </c>
      <c r="O1" s="7" t="s">
        <v>36</v>
      </c>
      <c r="P1" s="14" t="s">
        <v>37</v>
      </c>
      <c r="Q1" s="6" t="s">
        <v>79</v>
      </c>
      <c r="R1" s="47" t="s">
        <v>98</v>
      </c>
    </row>
    <row r="2" spans="1:18">
      <c r="A2" s="1">
        <f>Timeline!A2</f>
        <v>1</v>
      </c>
      <c r="B2" s="2">
        <f>Timeline!B2</f>
        <v>45658</v>
      </c>
      <c r="C2" s="1">
        <v>0</v>
      </c>
      <c r="D2" s="1">
        <v>0</v>
      </c>
      <c r="E2" s="19">
        <v>50</v>
      </c>
      <c r="F2" s="19">
        <v>0</v>
      </c>
      <c r="G2" s="19">
        <v>12</v>
      </c>
      <c r="H2" s="19">
        <v>10000</v>
      </c>
      <c r="I2" s="19">
        <v>0</v>
      </c>
      <c r="J2" s="19">
        <v>0</v>
      </c>
      <c r="K2" s="19">
        <v>-10000</v>
      </c>
      <c r="L2" s="19">
        <v>-3333.3333333333335</v>
      </c>
      <c r="M2" s="19">
        <v>-2048.6111111111113</v>
      </c>
      <c r="N2" s="19">
        <v>-15381.944444444445</v>
      </c>
      <c r="O2" s="19">
        <v>-26041.666666666668</v>
      </c>
      <c r="P2" s="19">
        <v>-41423.611111111109</v>
      </c>
      <c r="Q2" s="1" t="s">
        <v>86</v>
      </c>
      <c r="R2" s="19" t="s">
        <v>100</v>
      </c>
    </row>
    <row r="3" spans="1:18">
      <c r="A3" s="1">
        <f>Timeline!A3</f>
        <v>2</v>
      </c>
      <c r="B3" s="2">
        <f>Timeline!B3</f>
        <v>45689</v>
      </c>
      <c r="C3" s="1">
        <v>1</v>
      </c>
      <c r="D3" s="1">
        <v>1</v>
      </c>
      <c r="E3" s="19">
        <v>50.123313488615182</v>
      </c>
      <c r="F3" s="19">
        <v>0</v>
      </c>
      <c r="G3" s="19">
        <v>12.024718035238113</v>
      </c>
      <c r="H3" s="19">
        <v>10020.598362698427</v>
      </c>
      <c r="I3" s="19">
        <v>8016.4786901587422</v>
      </c>
      <c r="J3" s="19">
        <v>-80.164786901587419</v>
      </c>
      <c r="K3" s="19">
        <v>-2084.2844594412727</v>
      </c>
      <c r="L3" s="19">
        <v>-3333.3333333333335</v>
      </c>
      <c r="M3" s="19">
        <v>-2048.6111111111113</v>
      </c>
      <c r="N3" s="19">
        <v>-7466.228903885718</v>
      </c>
      <c r="O3" s="19">
        <v>-26041.666666666668</v>
      </c>
      <c r="P3" s="19">
        <v>-33507.895570552384</v>
      </c>
      <c r="Q3" s="1" t="s">
        <v>86</v>
      </c>
      <c r="R3" s="19" t="s">
        <v>100</v>
      </c>
    </row>
    <row r="4" spans="1:18">
      <c r="A4" s="1">
        <f>Timeline!A4</f>
        <v>3</v>
      </c>
      <c r="B4" s="2">
        <f>Timeline!B4</f>
        <v>45717</v>
      </c>
      <c r="C4" s="1">
        <v>1</v>
      </c>
      <c r="D4" s="1">
        <v>0</v>
      </c>
      <c r="E4" s="19">
        <v>50.246931101559845</v>
      </c>
      <c r="F4" s="19">
        <v>41872.442584633209</v>
      </c>
      <c r="G4" s="19">
        <v>12.04948698558173</v>
      </c>
      <c r="H4" s="19">
        <v>10041.239154651443</v>
      </c>
      <c r="I4" s="19">
        <v>8032.9913237211549</v>
      </c>
      <c r="J4" s="19">
        <v>-499.0543390835436</v>
      </c>
      <c r="K4" s="19">
        <v>39365.140414619374</v>
      </c>
      <c r="L4" s="19">
        <v>-3333.3333333333335</v>
      </c>
      <c r="M4" s="19">
        <v>-2048.6111111111113</v>
      </c>
      <c r="N4" s="19">
        <v>33983.195970174929</v>
      </c>
      <c r="O4" s="19">
        <v>-26041.666666666668</v>
      </c>
      <c r="P4" s="19">
        <v>7941.5293035082614</v>
      </c>
      <c r="Q4" s="1" t="s">
        <v>86</v>
      </c>
      <c r="R4" s="19" t="s">
        <v>100</v>
      </c>
    </row>
    <row r="5" spans="1:18">
      <c r="A5" s="1">
        <f>Timeline!A5</f>
        <v>4</v>
      </c>
      <c r="B5" s="2">
        <f>Timeline!B5</f>
        <v>45748</v>
      </c>
      <c r="C5" s="1">
        <v>1</v>
      </c>
      <c r="D5" s="1">
        <v>0</v>
      </c>
      <c r="E5" s="19">
        <v>50.370853588886646</v>
      </c>
      <c r="F5" s="19">
        <v>41975.711324072203</v>
      </c>
      <c r="G5" s="19">
        <v>12.074306955907634</v>
      </c>
      <c r="H5" s="19">
        <v>10061.92246325636</v>
      </c>
      <c r="I5" s="19">
        <v>8049.537970605088</v>
      </c>
      <c r="J5" s="19">
        <v>-500.25249294677292</v>
      </c>
      <c r="K5" s="19">
        <v>39463.074338474151</v>
      </c>
      <c r="L5" s="19">
        <v>-3333.3333333333335</v>
      </c>
      <c r="M5" s="19">
        <v>-2048.6111111111113</v>
      </c>
      <c r="N5" s="19">
        <v>34081.129894029706</v>
      </c>
      <c r="O5" s="19">
        <v>-26041.666666666668</v>
      </c>
      <c r="P5" s="19">
        <v>8039.4632273630377</v>
      </c>
      <c r="Q5" s="1" t="s">
        <v>86</v>
      </c>
      <c r="R5" s="19" t="s">
        <v>104</v>
      </c>
    </row>
    <row r="6" spans="1:18">
      <c r="A6" s="1">
        <f>Timeline!A6</f>
        <v>5</v>
      </c>
      <c r="B6" s="2">
        <f>Timeline!B6</f>
        <v>45778</v>
      </c>
      <c r="C6" s="1">
        <v>1</v>
      </c>
      <c r="D6" s="1">
        <v>0</v>
      </c>
      <c r="E6" s="19">
        <v>50.495081702498048</v>
      </c>
      <c r="F6" s="19">
        <v>42079.234752081706</v>
      </c>
      <c r="G6" s="19">
        <v>12.099178051308627</v>
      </c>
      <c r="H6" s="19">
        <v>10082.648376090521</v>
      </c>
      <c r="I6" s="19">
        <v>8066.1187008724173</v>
      </c>
      <c r="J6" s="19">
        <v>-501.45353452954123</v>
      </c>
      <c r="K6" s="19">
        <v>39561.251542334052</v>
      </c>
      <c r="L6" s="19">
        <v>-3333.3333333333335</v>
      </c>
      <c r="M6" s="19">
        <v>-2048.6111111111113</v>
      </c>
      <c r="N6" s="19">
        <v>34179.307097889607</v>
      </c>
      <c r="O6" s="19">
        <v>-26041.666666666668</v>
      </c>
      <c r="P6" s="19">
        <v>8137.6404312229388</v>
      </c>
      <c r="Q6" s="1" t="s">
        <v>86</v>
      </c>
      <c r="R6" s="19" t="s">
        <v>104</v>
      </c>
    </row>
    <row r="7" spans="1:18">
      <c r="A7" s="1">
        <f>Timeline!A7</f>
        <v>6</v>
      </c>
      <c r="B7" s="2">
        <f>Timeline!B7</f>
        <v>45809</v>
      </c>
      <c r="C7" s="1">
        <v>1</v>
      </c>
      <c r="D7" s="1">
        <v>0</v>
      </c>
      <c r="E7" s="19">
        <v>50.619616196150915</v>
      </c>
      <c r="F7" s="19">
        <v>42183.013496792431</v>
      </c>
      <c r="G7" s="19">
        <v>12.124100377093999</v>
      </c>
      <c r="H7" s="19">
        <v>10103.416980911667</v>
      </c>
      <c r="I7" s="19">
        <v>8082.7335847293334</v>
      </c>
      <c r="J7" s="19">
        <v>-502.65747081521766</v>
      </c>
      <c r="K7" s="19">
        <v>39659.672629794884</v>
      </c>
      <c r="L7" s="19">
        <v>-3333.3333333333335</v>
      </c>
      <c r="M7" s="19">
        <v>-2048.6111111111113</v>
      </c>
      <c r="N7" s="19">
        <v>34277.728185350439</v>
      </c>
      <c r="O7" s="19">
        <v>-26041.666666666668</v>
      </c>
      <c r="P7" s="19">
        <v>8236.0615186837713</v>
      </c>
      <c r="Q7" s="1" t="s">
        <v>86</v>
      </c>
      <c r="R7" s="19" t="s">
        <v>104</v>
      </c>
    </row>
    <row r="8" spans="1:18">
      <c r="A8" s="1">
        <f>Timeline!A8</f>
        <v>7</v>
      </c>
      <c r="B8" s="2">
        <f>Timeline!B8</f>
        <v>45839</v>
      </c>
      <c r="C8" s="1">
        <v>1</v>
      </c>
      <c r="D8" s="1">
        <v>0</v>
      </c>
      <c r="E8" s="19">
        <v>50.744457825461097</v>
      </c>
      <c r="F8" s="19">
        <v>42287.048187884247</v>
      </c>
      <c r="G8" s="19">
        <v>12.149074038789951</v>
      </c>
      <c r="H8" s="19">
        <v>10124.228365658291</v>
      </c>
      <c r="I8" s="19">
        <v>8099.382692526633</v>
      </c>
      <c r="J8" s="19">
        <v>-503.86430880410882</v>
      </c>
      <c r="K8" s="19">
        <v>39758.338205948487</v>
      </c>
      <c r="L8" s="19">
        <v>-3333.3333333333335</v>
      </c>
      <c r="M8" s="19">
        <v>-2048.6111111111113</v>
      </c>
      <c r="N8" s="19">
        <v>34376.393761504041</v>
      </c>
      <c r="O8" s="19">
        <v>-26041.666666666668</v>
      </c>
      <c r="P8" s="19">
        <v>8334.7270948373734</v>
      </c>
      <c r="Q8" s="1" t="s">
        <v>86</v>
      </c>
      <c r="R8" s="19" t="s">
        <v>105</v>
      </c>
    </row>
    <row r="9" spans="1:18">
      <c r="A9" s="1">
        <f>Timeline!A9</f>
        <v>8</v>
      </c>
      <c r="B9" s="2">
        <f>Timeline!B9</f>
        <v>45870</v>
      </c>
      <c r="C9" s="1">
        <v>1</v>
      </c>
      <c r="D9" s="1">
        <v>0</v>
      </c>
      <c r="E9" s="19">
        <v>50.869607347907966</v>
      </c>
      <c r="F9" s="19">
        <v>42391.339456589973</v>
      </c>
      <c r="G9" s="19">
        <v>12.174099142140058</v>
      </c>
      <c r="H9" s="19">
        <v>10145.082618450047</v>
      </c>
      <c r="I9" s="19">
        <v>8116.0660947600381</v>
      </c>
      <c r="J9" s="19">
        <v>-505.07405551350013</v>
      </c>
      <c r="K9" s="19">
        <v>39857.248877386468</v>
      </c>
      <c r="L9" s="19">
        <v>-3333.3333333333335</v>
      </c>
      <c r="M9" s="19">
        <v>-2048.6111111111113</v>
      </c>
      <c r="N9" s="19">
        <v>34475.304432942023</v>
      </c>
      <c r="O9" s="19">
        <v>-26041.666666666668</v>
      </c>
      <c r="P9" s="19">
        <v>8433.6377662753548</v>
      </c>
      <c r="Q9" s="1" t="s">
        <v>86</v>
      </c>
      <c r="R9" s="19" t="s">
        <v>105</v>
      </c>
    </row>
    <row r="10" spans="1:18">
      <c r="A10" s="1">
        <f>Timeline!A10</f>
        <v>9</v>
      </c>
      <c r="B10" s="2">
        <f>Timeline!B10</f>
        <v>45901</v>
      </c>
      <c r="C10" s="1">
        <v>1</v>
      </c>
      <c r="D10" s="1">
        <v>0</v>
      </c>
      <c r="E10" s="19">
        <v>50.99506552283907</v>
      </c>
      <c r="F10" s="19">
        <v>42495.887935699226</v>
      </c>
      <c r="G10" s="19">
        <v>12.199175793105699</v>
      </c>
      <c r="H10" s="19">
        <v>10165.979827588084</v>
      </c>
      <c r="I10" s="19">
        <v>8132.7838620704679</v>
      </c>
      <c r="J10" s="19">
        <v>-506.28671797769698</v>
      </c>
      <c r="K10" s="19">
        <v>39956.40525220392</v>
      </c>
      <c r="L10" s="19">
        <v>-3333.3333333333335</v>
      </c>
      <c r="M10" s="19">
        <v>-2048.6111111111113</v>
      </c>
      <c r="N10" s="19">
        <v>34574.460807759475</v>
      </c>
      <c r="O10" s="19">
        <v>-26041.666666666668</v>
      </c>
      <c r="P10" s="19">
        <v>8532.794141092807</v>
      </c>
      <c r="Q10" s="1" t="s">
        <v>86</v>
      </c>
      <c r="R10" s="19" t="s">
        <v>105</v>
      </c>
    </row>
    <row r="11" spans="1:18">
      <c r="A11" s="1">
        <f>Timeline!A11</f>
        <v>10</v>
      </c>
      <c r="B11" s="2">
        <f>Timeline!B11</f>
        <v>45931</v>
      </c>
      <c r="C11" s="1">
        <v>1</v>
      </c>
      <c r="D11" s="1">
        <v>0</v>
      </c>
      <c r="E11" s="19">
        <v>51.120833111474681</v>
      </c>
      <c r="F11" s="19">
        <v>42600.694259562239</v>
      </c>
      <c r="G11" s="19">
        <v>12.224304097866527</v>
      </c>
      <c r="H11" s="19">
        <v>10186.92008155544</v>
      </c>
      <c r="I11" s="19">
        <v>8149.5360652443524</v>
      </c>
      <c r="J11" s="19">
        <v>-507.50230324806586</v>
      </c>
      <c r="K11" s="19">
        <v>40055.807940003084</v>
      </c>
      <c r="L11" s="19">
        <v>-3333.3333333333335</v>
      </c>
      <c r="M11" s="19">
        <v>-2048.6111111111113</v>
      </c>
      <c r="N11" s="19">
        <v>34673.863495558639</v>
      </c>
      <c r="O11" s="19">
        <v>-26041.666666666668</v>
      </c>
      <c r="P11" s="19">
        <v>8632.1968288919707</v>
      </c>
      <c r="Q11" s="1" t="s">
        <v>86</v>
      </c>
      <c r="R11" s="19" t="s">
        <v>106</v>
      </c>
    </row>
    <row r="12" spans="1:18">
      <c r="A12" s="1">
        <f>Timeline!A12</f>
        <v>11</v>
      </c>
      <c r="B12" s="2">
        <f>Timeline!B12</f>
        <v>45962</v>
      </c>
      <c r="C12" s="1">
        <v>1</v>
      </c>
      <c r="D12" s="1">
        <v>0</v>
      </c>
      <c r="E12" s="19">
        <v>51.246910876912487</v>
      </c>
      <c r="F12" s="19">
        <v>42705.759064093741</v>
      </c>
      <c r="G12" s="19">
        <v>12.249484162820902</v>
      </c>
      <c r="H12" s="19">
        <v>10207.903469017419</v>
      </c>
      <c r="I12" s="19">
        <v>8166.3227752139355</v>
      </c>
      <c r="J12" s="19">
        <v>-508.7208183930768</v>
      </c>
      <c r="K12" s="19">
        <v>40155.457551897183</v>
      </c>
      <c r="L12" s="19">
        <v>-3333.3333333333335</v>
      </c>
      <c r="M12" s="19">
        <v>-2048.6111111111113</v>
      </c>
      <c r="N12" s="19">
        <v>34773.513107452738</v>
      </c>
      <c r="O12" s="19">
        <v>-26041.666666666668</v>
      </c>
      <c r="P12" s="19">
        <v>8731.8464407860702</v>
      </c>
      <c r="Q12" s="1" t="s">
        <v>86</v>
      </c>
      <c r="R12" s="19" t="s">
        <v>106</v>
      </c>
    </row>
    <row r="13" spans="1:18">
      <c r="A13" s="1">
        <f>Timeline!A13</f>
        <v>12</v>
      </c>
      <c r="B13" s="2">
        <f>Timeline!B13</f>
        <v>45992</v>
      </c>
      <c r="C13" s="1">
        <v>1</v>
      </c>
      <c r="D13" s="1">
        <v>0</v>
      </c>
      <c r="E13" s="19">
        <v>51.373299584132162</v>
      </c>
      <c r="F13" s="19">
        <v>42811.082986776804</v>
      </c>
      <c r="G13" s="19">
        <v>12.274716094586347</v>
      </c>
      <c r="H13" s="19">
        <v>10228.930078821955</v>
      </c>
      <c r="I13" s="19">
        <v>8183.1440630575644</v>
      </c>
      <c r="J13" s="19">
        <v>-509.9422704983437</v>
      </c>
      <c r="K13" s="19">
        <v>40255.354700514072</v>
      </c>
      <c r="L13" s="19">
        <v>-3333.3333333333335</v>
      </c>
      <c r="M13" s="19">
        <v>-2048.6111111111113</v>
      </c>
      <c r="N13" s="19">
        <v>34873.410256069626</v>
      </c>
      <c r="O13" s="19">
        <v>-26041.666666666668</v>
      </c>
      <c r="P13" s="19">
        <v>8831.7435894029586</v>
      </c>
      <c r="Q13" s="1" t="s">
        <v>86</v>
      </c>
      <c r="R13" s="19" t="s">
        <v>106</v>
      </c>
    </row>
    <row r="14" spans="1:18" s="13" customFormat="1">
      <c r="A14" s="15" t="s">
        <v>38</v>
      </c>
      <c r="B14" s="15"/>
      <c r="C14" s="15"/>
      <c r="D14" s="15"/>
      <c r="E14" s="15"/>
      <c r="F14" s="17">
        <f>SUM(F2:F13)</f>
        <v>423402.21404818585</v>
      </c>
      <c r="G14" s="15"/>
      <c r="H14" s="17">
        <f t="shared" ref="H14:P14" si="0">SUM(H2:H13)</f>
        <v>121368.86977869966</v>
      </c>
      <c r="I14" s="17">
        <f t="shared" si="0"/>
        <v>89095.095822959731</v>
      </c>
      <c r="J14" s="20">
        <f t="shared" si="0"/>
        <v>-5124.9730987114553</v>
      </c>
      <c r="K14" s="17">
        <f t="shared" si="0"/>
        <v>386003.4669937343</v>
      </c>
      <c r="L14" s="20">
        <f t="shared" si="0"/>
        <v>-40000</v>
      </c>
      <c r="M14" s="20">
        <f t="shared" si="0"/>
        <v>-24583.333333333328</v>
      </c>
      <c r="N14" s="17">
        <f t="shared" si="0"/>
        <v>321420.1336604011</v>
      </c>
      <c r="O14" s="20">
        <f t="shared" si="0"/>
        <v>-312500</v>
      </c>
      <c r="P14" s="17">
        <f t="shared" si="0"/>
        <v>8920.1336604010539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C4EB-0A13-4CA7-840B-7FF8E5C8F0E3}">
  <dimension ref="A1:R14"/>
  <sheetViews>
    <sheetView zoomScale="85" zoomScaleNormal="85" workbookViewId="0">
      <selection activeCell="C29" sqref="C29"/>
    </sheetView>
  </sheetViews>
  <sheetFormatPr defaultRowHeight="14.25"/>
  <cols>
    <col min="1" max="1" width="13.46484375" style="1" customWidth="1"/>
    <col min="2" max="2" width="13" style="1" customWidth="1"/>
    <col min="3" max="4" width="10.06640625" style="1" customWidth="1"/>
    <col min="5" max="5" width="12.73046875" style="1" customWidth="1"/>
    <col min="6" max="6" width="11.19921875" style="1" customWidth="1"/>
    <col min="7" max="7" width="15.53125" style="1" customWidth="1"/>
    <col min="8" max="8" width="10.86328125" style="1" customWidth="1"/>
    <col min="9" max="9" width="11.46484375" style="1" customWidth="1"/>
    <col min="10" max="10" width="10.59765625" style="1" customWidth="1"/>
    <col min="11" max="11" width="15.53125" style="1" customWidth="1"/>
    <col min="12" max="13" width="11.06640625" style="1" customWidth="1"/>
    <col min="14" max="14" width="10.6640625" style="1" customWidth="1"/>
    <col min="15" max="15" width="16.73046875" style="1" customWidth="1"/>
    <col min="16" max="16" width="10.6640625" style="1" customWidth="1"/>
    <col min="17" max="17" width="9.46484375" style="1" customWidth="1"/>
    <col min="18" max="16384" width="9.06640625" style="1"/>
  </cols>
  <sheetData>
    <row r="1" spans="1:18" s="6" customFormat="1">
      <c r="A1" s="5" t="s">
        <v>22</v>
      </c>
      <c r="B1" s="5" t="s">
        <v>23</v>
      </c>
      <c r="C1" s="8" t="s">
        <v>24</v>
      </c>
      <c r="D1" s="8" t="s">
        <v>25</v>
      </c>
      <c r="E1" s="8" t="s">
        <v>26</v>
      </c>
      <c r="F1" s="8" t="s">
        <v>27</v>
      </c>
      <c r="G1" s="9" t="s">
        <v>28</v>
      </c>
      <c r="H1" s="9" t="s">
        <v>29</v>
      </c>
      <c r="I1" s="9" t="s">
        <v>30</v>
      </c>
      <c r="J1" s="9" t="s">
        <v>31</v>
      </c>
      <c r="K1" s="7" t="s">
        <v>32</v>
      </c>
      <c r="L1" s="7" t="s">
        <v>33</v>
      </c>
      <c r="M1" s="7" t="s">
        <v>34</v>
      </c>
      <c r="N1" s="7" t="s">
        <v>35</v>
      </c>
      <c r="O1" s="7" t="s">
        <v>36</v>
      </c>
      <c r="P1" s="14" t="s">
        <v>37</v>
      </c>
      <c r="Q1" s="6" t="s">
        <v>79</v>
      </c>
      <c r="R1" s="47" t="s">
        <v>98</v>
      </c>
    </row>
    <row r="2" spans="1:18">
      <c r="A2" s="1">
        <f>Timeline!A2</f>
        <v>1</v>
      </c>
      <c r="B2" s="2">
        <f>Timeline!B2</f>
        <v>45658</v>
      </c>
      <c r="C2" s="1">
        <v>0</v>
      </c>
      <c r="D2" s="1">
        <v>0</v>
      </c>
      <c r="E2" s="19">
        <v>50</v>
      </c>
      <c r="F2" s="19">
        <v>0</v>
      </c>
      <c r="G2" s="19">
        <v>12</v>
      </c>
      <c r="H2" s="19">
        <v>10000</v>
      </c>
      <c r="I2" s="19">
        <v>0</v>
      </c>
      <c r="J2" s="19">
        <v>0</v>
      </c>
      <c r="K2" s="19">
        <v>-10000</v>
      </c>
      <c r="L2" s="19">
        <v>-3333.3333333333335</v>
      </c>
      <c r="M2" s="19">
        <v>-2048.6111111111113</v>
      </c>
      <c r="N2" s="19">
        <v>-15381.944444444445</v>
      </c>
      <c r="O2" s="19">
        <v>-26041.666666666668</v>
      </c>
      <c r="P2" s="19">
        <v>-41423.611111111109</v>
      </c>
      <c r="Q2" s="1" t="s">
        <v>88</v>
      </c>
      <c r="R2" s="19" t="s">
        <v>100</v>
      </c>
    </row>
    <row r="3" spans="1:18">
      <c r="A3" s="1">
        <f>Timeline!A3</f>
        <v>2</v>
      </c>
      <c r="B3" s="2">
        <f>Timeline!B3</f>
        <v>45689</v>
      </c>
      <c r="C3" s="1">
        <v>1</v>
      </c>
      <c r="D3" s="1">
        <v>1</v>
      </c>
      <c r="E3" s="19">
        <v>50.203706189182419</v>
      </c>
      <c r="F3" s="19">
        <v>0</v>
      </c>
      <c r="G3" s="19">
        <v>12.014897852597391</v>
      </c>
      <c r="H3" s="19">
        <v>10012.414877164492</v>
      </c>
      <c r="I3" s="19">
        <v>9011.173389448044</v>
      </c>
      <c r="J3" s="19">
        <v>-45.055866947240219</v>
      </c>
      <c r="K3" s="19">
        <v>-1046.2973546636877</v>
      </c>
      <c r="L3" s="19">
        <v>-3333.3333333333335</v>
      </c>
      <c r="M3" s="19">
        <v>-2048.6111111111113</v>
      </c>
      <c r="N3" s="19">
        <v>-6428.2417991081329</v>
      </c>
      <c r="O3" s="19">
        <v>-26041.666666666668</v>
      </c>
      <c r="P3" s="19">
        <v>-32469.908465774803</v>
      </c>
      <c r="Q3" s="1" t="s">
        <v>88</v>
      </c>
      <c r="R3" s="19" t="s">
        <v>100</v>
      </c>
    </row>
    <row r="4" spans="1:18">
      <c r="A4" s="1">
        <f>Timeline!A4</f>
        <v>3</v>
      </c>
      <c r="B4" s="2">
        <f>Timeline!B4</f>
        <v>45717</v>
      </c>
      <c r="C4" s="1">
        <v>1</v>
      </c>
      <c r="D4" s="1">
        <v>0</v>
      </c>
      <c r="E4" s="19">
        <v>50.408242302595049</v>
      </c>
      <c r="F4" s="19">
        <v>42006.868585495868</v>
      </c>
      <c r="G4" s="19">
        <v>12.029814200695785</v>
      </c>
      <c r="H4" s="19">
        <v>10024.845167246487</v>
      </c>
      <c r="I4" s="19">
        <v>9022.3606505218395</v>
      </c>
      <c r="J4" s="19">
        <v>-255.14614618008855</v>
      </c>
      <c r="K4" s="19">
        <v>40749.237922591135</v>
      </c>
      <c r="L4" s="19">
        <v>-3333.3333333333335</v>
      </c>
      <c r="M4" s="19">
        <v>-2048.6111111111113</v>
      </c>
      <c r="N4" s="19">
        <v>35367.29347814669</v>
      </c>
      <c r="O4" s="19">
        <v>-26041.666666666668</v>
      </c>
      <c r="P4" s="19">
        <v>9325.6268114800223</v>
      </c>
      <c r="Q4" s="1" t="s">
        <v>88</v>
      </c>
      <c r="R4" s="19" t="s">
        <v>100</v>
      </c>
    </row>
    <row r="5" spans="1:18">
      <c r="A5" s="1">
        <f>Timeline!A5</f>
        <v>4</v>
      </c>
      <c r="B5" s="2">
        <f>Timeline!B5</f>
        <v>45748</v>
      </c>
      <c r="C5" s="1">
        <v>1</v>
      </c>
      <c r="D5" s="1">
        <v>0</v>
      </c>
      <c r="E5" s="19">
        <v>50.613611721451967</v>
      </c>
      <c r="F5" s="19">
        <v>42178.00976787664</v>
      </c>
      <c r="G5" s="19">
        <v>12.044749067257115</v>
      </c>
      <c r="H5" s="19">
        <v>10037.290889380929</v>
      </c>
      <c r="I5" s="19">
        <v>9033.5618004428361</v>
      </c>
      <c r="J5" s="19">
        <v>-256.05785784159735</v>
      </c>
      <c r="K5" s="19">
        <v>40918.222821096948</v>
      </c>
      <c r="L5" s="19">
        <v>-3333.3333333333335</v>
      </c>
      <c r="M5" s="19">
        <v>-2048.6111111111113</v>
      </c>
      <c r="N5" s="19">
        <v>35536.278376652503</v>
      </c>
      <c r="O5" s="19">
        <v>-26041.666666666668</v>
      </c>
      <c r="P5" s="19">
        <v>9494.6117099858348</v>
      </c>
      <c r="Q5" s="1" t="s">
        <v>88</v>
      </c>
      <c r="R5" s="19" t="s">
        <v>104</v>
      </c>
    </row>
    <row r="6" spans="1:18">
      <c r="A6" s="1">
        <f>Timeline!A6</f>
        <v>5</v>
      </c>
      <c r="B6" s="2">
        <f>Timeline!B6</f>
        <v>45778</v>
      </c>
      <c r="C6" s="1">
        <v>1</v>
      </c>
      <c r="D6" s="1">
        <v>0</v>
      </c>
      <c r="E6" s="19">
        <v>50.819817840742672</v>
      </c>
      <c r="F6" s="19">
        <v>42349.848200618893</v>
      </c>
      <c r="G6" s="19">
        <v>12.05970247527183</v>
      </c>
      <c r="H6" s="19">
        <v>10049.752062726524</v>
      </c>
      <c r="I6" s="19">
        <v>9044.776856453871</v>
      </c>
      <c r="J6" s="19">
        <v>-256.97312528536384</v>
      </c>
      <c r="K6" s="19">
        <v>41087.899869060871</v>
      </c>
      <c r="L6" s="19">
        <v>-3333.3333333333335</v>
      </c>
      <c r="M6" s="19">
        <v>-2048.6111111111113</v>
      </c>
      <c r="N6" s="19">
        <v>35705.955424616426</v>
      </c>
      <c r="O6" s="19">
        <v>-26041.666666666668</v>
      </c>
      <c r="P6" s="19">
        <v>9664.2887579497583</v>
      </c>
      <c r="Q6" s="1" t="s">
        <v>88</v>
      </c>
      <c r="R6" s="19" t="s">
        <v>104</v>
      </c>
    </row>
    <row r="7" spans="1:18">
      <c r="A7" s="1">
        <f>Timeline!A7</f>
        <v>6</v>
      </c>
      <c r="B7" s="2">
        <f>Timeline!B7</f>
        <v>45809</v>
      </c>
      <c r="C7" s="1">
        <v>1</v>
      </c>
      <c r="D7" s="1">
        <v>0</v>
      </c>
      <c r="E7" s="19">
        <v>51.026864069288315</v>
      </c>
      <c r="F7" s="19">
        <v>42522.386724406926</v>
      </c>
      <c r="G7" s="19">
        <v>12.074674447758913</v>
      </c>
      <c r="H7" s="19">
        <v>10062.228706465761</v>
      </c>
      <c r="I7" s="19">
        <v>9056.0058358191854</v>
      </c>
      <c r="J7" s="19">
        <v>-257.8919628011306</v>
      </c>
      <c r="K7" s="19">
        <v>41258.271890959222</v>
      </c>
      <c r="L7" s="19">
        <v>-3333.3333333333335</v>
      </c>
      <c r="M7" s="19">
        <v>-2048.6111111111113</v>
      </c>
      <c r="N7" s="19">
        <v>35876.327446514777</v>
      </c>
      <c r="O7" s="19">
        <v>-26041.666666666668</v>
      </c>
      <c r="P7" s="19">
        <v>9834.6607798481091</v>
      </c>
      <c r="Q7" s="1" t="s">
        <v>88</v>
      </c>
      <c r="R7" s="19" t="s">
        <v>104</v>
      </c>
    </row>
    <row r="8" spans="1:18">
      <c r="A8" s="1">
        <f>Timeline!A8</f>
        <v>7</v>
      </c>
      <c r="B8" s="2">
        <f>Timeline!B8</f>
        <v>45839</v>
      </c>
      <c r="C8" s="1">
        <v>1</v>
      </c>
      <c r="D8" s="1">
        <v>0</v>
      </c>
      <c r="E8" s="19">
        <v>51.234753829797995</v>
      </c>
      <c r="F8" s="19">
        <v>42695.628191498326</v>
      </c>
      <c r="G8" s="19">
        <v>12.08966500776593</v>
      </c>
      <c r="H8" s="19">
        <v>10074.720839804942</v>
      </c>
      <c r="I8" s="19">
        <v>9067.2487558244484</v>
      </c>
      <c r="J8" s="19">
        <v>-258.81438473661387</v>
      </c>
      <c r="K8" s="19">
        <v>41429.341722781217</v>
      </c>
      <c r="L8" s="19">
        <v>-3333.3333333333335</v>
      </c>
      <c r="M8" s="19">
        <v>-2048.6111111111113</v>
      </c>
      <c r="N8" s="19">
        <v>36047.397278336772</v>
      </c>
      <c r="O8" s="19">
        <v>-26041.666666666668</v>
      </c>
      <c r="P8" s="19">
        <v>10005.730611670104</v>
      </c>
      <c r="Q8" s="1" t="s">
        <v>88</v>
      </c>
      <c r="R8" s="19" t="s">
        <v>105</v>
      </c>
    </row>
    <row r="9" spans="1:18">
      <c r="A9" s="1">
        <f>Timeline!A9</f>
        <v>8</v>
      </c>
      <c r="B9" s="2">
        <f>Timeline!B9</f>
        <v>45870</v>
      </c>
      <c r="C9" s="1">
        <v>1</v>
      </c>
      <c r="D9" s="1">
        <v>0</v>
      </c>
      <c r="E9" s="19">
        <v>51.44349055892534</v>
      </c>
      <c r="F9" s="19">
        <v>42869.575465771115</v>
      </c>
      <c r="G9" s="19">
        <v>12.104674178369059</v>
      </c>
      <c r="H9" s="19">
        <v>10087.228481974214</v>
      </c>
      <c r="I9" s="19">
        <v>9078.5056337767928</v>
      </c>
      <c r="J9" s="19">
        <v>-259.74040549773957</v>
      </c>
      <c r="K9" s="19">
        <v>41601.112212075961</v>
      </c>
      <c r="L9" s="19">
        <v>-3333.3333333333335</v>
      </c>
      <c r="M9" s="19">
        <v>-2048.6111111111113</v>
      </c>
      <c r="N9" s="19">
        <v>36219.167767631516</v>
      </c>
      <c r="O9" s="19">
        <v>-26041.666666666668</v>
      </c>
      <c r="P9" s="19">
        <v>10177.501100964848</v>
      </c>
      <c r="Q9" s="1" t="s">
        <v>88</v>
      </c>
      <c r="R9" s="19" t="s">
        <v>105</v>
      </c>
    </row>
    <row r="10" spans="1:18">
      <c r="A10" s="1">
        <f>Timeline!A10</f>
        <v>9</v>
      </c>
      <c r="B10" s="2">
        <f>Timeline!B10</f>
        <v>45901</v>
      </c>
      <c r="C10" s="1">
        <v>1</v>
      </c>
      <c r="D10" s="1">
        <v>0</v>
      </c>
      <c r="E10" s="19">
        <v>51.653077707325345</v>
      </c>
      <c r="F10" s="19">
        <v>43044.231422771118</v>
      </c>
      <c r="G10" s="19">
        <v>12.119701982673124</v>
      </c>
      <c r="H10" s="19">
        <v>10099.751652227604</v>
      </c>
      <c r="I10" s="19">
        <v>9089.7764870048431</v>
      </c>
      <c r="J10" s="19">
        <v>-260.6700395488798</v>
      </c>
      <c r="K10" s="19">
        <v>41773.586217999473</v>
      </c>
      <c r="L10" s="19">
        <v>-3333.3333333333335</v>
      </c>
      <c r="M10" s="19">
        <v>-2048.6111111111113</v>
      </c>
      <c r="N10" s="19">
        <v>36391.641773555028</v>
      </c>
      <c r="O10" s="19">
        <v>-26041.666666666668</v>
      </c>
      <c r="P10" s="19">
        <v>10349.97510688836</v>
      </c>
      <c r="Q10" s="1" t="s">
        <v>88</v>
      </c>
      <c r="R10" s="19" t="s">
        <v>105</v>
      </c>
    </row>
    <row r="11" spans="1:18">
      <c r="A11" s="1">
        <f>Timeline!A11</f>
        <v>10</v>
      </c>
      <c r="B11" s="2">
        <f>Timeline!B11</f>
        <v>45931</v>
      </c>
      <c r="C11" s="1">
        <v>1</v>
      </c>
      <c r="D11" s="1">
        <v>0</v>
      </c>
      <c r="E11" s="19">
        <v>51.863518739711388</v>
      </c>
      <c r="F11" s="19">
        <v>43219.598949759493</v>
      </c>
      <c r="G11" s="19">
        <v>12.13474844381164</v>
      </c>
      <c r="H11" s="19">
        <v>10112.290369843033</v>
      </c>
      <c r="I11" s="19">
        <v>9101.0613328587297</v>
      </c>
      <c r="J11" s="19">
        <v>-261.60330141309112</v>
      </c>
      <c r="K11" s="19">
        <v>41946.766611362102</v>
      </c>
      <c r="L11" s="19">
        <v>-3333.3333333333335</v>
      </c>
      <c r="M11" s="19">
        <v>-2048.6111111111113</v>
      </c>
      <c r="N11" s="19">
        <v>36564.822166917656</v>
      </c>
      <c r="O11" s="19">
        <v>-26041.666666666668</v>
      </c>
      <c r="P11" s="19">
        <v>10523.155500250989</v>
      </c>
      <c r="Q11" s="1" t="s">
        <v>88</v>
      </c>
      <c r="R11" s="19" t="s">
        <v>106</v>
      </c>
    </row>
    <row r="12" spans="1:18">
      <c r="A12" s="1">
        <f>Timeline!A12</f>
        <v>11</v>
      </c>
      <c r="B12" s="2">
        <f>Timeline!B12</f>
        <v>45962</v>
      </c>
      <c r="C12" s="1">
        <v>1</v>
      </c>
      <c r="D12" s="1">
        <v>0</v>
      </c>
      <c r="E12" s="19">
        <v>52.074817134912543</v>
      </c>
      <c r="F12" s="19">
        <v>43395.680945760454</v>
      </c>
      <c r="G12" s="19">
        <v>12.149813584946834</v>
      </c>
      <c r="H12" s="19">
        <v>10124.844654122362</v>
      </c>
      <c r="I12" s="19">
        <v>9112.3601887101267</v>
      </c>
      <c r="J12" s="19">
        <v>-262.5402056723529</v>
      </c>
      <c r="K12" s="19">
        <v>42120.656274675865</v>
      </c>
      <c r="L12" s="19">
        <v>-3333.3333333333335</v>
      </c>
      <c r="M12" s="19">
        <v>-2048.6111111111113</v>
      </c>
      <c r="N12" s="19">
        <v>36738.711830231419</v>
      </c>
      <c r="O12" s="19">
        <v>-26041.666666666668</v>
      </c>
      <c r="P12" s="19">
        <v>10697.045163564751</v>
      </c>
      <c r="Q12" s="1" t="s">
        <v>88</v>
      </c>
      <c r="R12" s="19" t="s">
        <v>106</v>
      </c>
    </row>
    <row r="13" spans="1:18">
      <c r="A13" s="1">
        <f>Timeline!A13</f>
        <v>12</v>
      </c>
      <c r="B13" s="2">
        <f>Timeline!B13</f>
        <v>45992</v>
      </c>
      <c r="C13" s="1">
        <v>1</v>
      </c>
      <c r="D13" s="1">
        <v>0</v>
      </c>
      <c r="E13" s="19">
        <v>52.286976385931027</v>
      </c>
      <c r="F13" s="19">
        <v>43572.48032160919</v>
      </c>
      <c r="G13" s="19">
        <v>12.164897429269695</v>
      </c>
      <c r="H13" s="19">
        <v>10137.414524391412</v>
      </c>
      <c r="I13" s="19">
        <v>9123.6730719522711</v>
      </c>
      <c r="J13" s="19">
        <v>-263.48076696780731</v>
      </c>
      <c r="K13" s="19">
        <v>42295.258102202242</v>
      </c>
      <c r="L13" s="19">
        <v>-3333.3333333333335</v>
      </c>
      <c r="M13" s="19">
        <v>-2048.6111111111113</v>
      </c>
      <c r="N13" s="19">
        <v>36913.313657757797</v>
      </c>
      <c r="O13" s="19">
        <v>-26041.666666666668</v>
      </c>
      <c r="P13" s="19">
        <v>10871.646991091129</v>
      </c>
      <c r="Q13" s="1" t="s">
        <v>88</v>
      </c>
      <c r="R13" s="19" t="s">
        <v>106</v>
      </c>
    </row>
    <row r="14" spans="1:18" s="13" customFormat="1">
      <c r="A14" s="15" t="s">
        <v>38</v>
      </c>
      <c r="B14" s="15"/>
      <c r="C14" s="15"/>
      <c r="D14" s="15"/>
      <c r="E14" s="15"/>
      <c r="F14" s="17">
        <f>SUM(F2:F13)</f>
        <v>427854.30857556802</v>
      </c>
      <c r="G14" s="15"/>
      <c r="H14" s="17">
        <f t="shared" ref="H14:P14" si="0">SUM(H2:H13)</f>
        <v>120822.78222534776</v>
      </c>
      <c r="I14" s="17">
        <f t="shared" si="0"/>
        <v>99740.504002812988</v>
      </c>
      <c r="J14" s="20">
        <f t="shared" si="0"/>
        <v>-2637.9740628919053</v>
      </c>
      <c r="K14" s="17">
        <f t="shared" si="0"/>
        <v>404134.05629014137</v>
      </c>
      <c r="L14" s="20">
        <f t="shared" si="0"/>
        <v>-40000</v>
      </c>
      <c r="M14" s="20">
        <f t="shared" si="0"/>
        <v>-24583.333333333328</v>
      </c>
      <c r="N14" s="17">
        <f t="shared" si="0"/>
        <v>339550.72295680805</v>
      </c>
      <c r="O14" s="20">
        <f t="shared" si="0"/>
        <v>-312500</v>
      </c>
      <c r="P14" s="17">
        <f t="shared" si="0"/>
        <v>27050.722956808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8DA69-149E-45D5-91F0-BB93C9246C2D}">
  <dimension ref="A1:R14"/>
  <sheetViews>
    <sheetView zoomScale="85" zoomScaleNormal="85" workbookViewId="0">
      <selection activeCell="C29" sqref="C29"/>
    </sheetView>
  </sheetViews>
  <sheetFormatPr defaultRowHeight="14.25"/>
  <cols>
    <col min="1" max="1" width="13.46484375" style="1" customWidth="1"/>
    <col min="2" max="2" width="13" style="1" customWidth="1"/>
    <col min="3" max="4" width="10.06640625" style="1" customWidth="1"/>
    <col min="5" max="5" width="12.73046875" style="1" customWidth="1"/>
    <col min="6" max="6" width="11.19921875" style="1" customWidth="1"/>
    <col min="7" max="7" width="15.53125" style="1" customWidth="1"/>
    <col min="8" max="8" width="11.19921875" style="1" customWidth="1"/>
    <col min="9" max="9" width="11.46484375" style="1" customWidth="1"/>
    <col min="10" max="10" width="10.59765625" style="1" customWidth="1"/>
    <col min="11" max="11" width="15.53125" style="1" customWidth="1"/>
    <col min="12" max="13" width="11.19921875" style="1" customWidth="1"/>
    <col min="14" max="14" width="10.6640625" style="1" customWidth="1"/>
    <col min="15" max="15" width="16.73046875" style="1" customWidth="1"/>
    <col min="16" max="16" width="10.6640625" style="1" customWidth="1"/>
    <col min="17" max="17" width="9.46484375" style="1" customWidth="1"/>
    <col min="18" max="16384" width="9.06640625" style="1"/>
  </cols>
  <sheetData>
    <row r="1" spans="1:18" s="6" customFormat="1">
      <c r="A1" s="5" t="s">
        <v>22</v>
      </c>
      <c r="B1" s="5" t="s">
        <v>23</v>
      </c>
      <c r="C1" s="8" t="s">
        <v>24</v>
      </c>
      <c r="D1" s="8" t="s">
        <v>25</v>
      </c>
      <c r="E1" s="8" t="s">
        <v>26</v>
      </c>
      <c r="F1" s="8" t="s">
        <v>27</v>
      </c>
      <c r="G1" s="9" t="s">
        <v>28</v>
      </c>
      <c r="H1" s="9" t="s">
        <v>29</v>
      </c>
      <c r="I1" s="9" t="s">
        <v>30</v>
      </c>
      <c r="J1" s="9" t="s">
        <v>31</v>
      </c>
      <c r="K1" s="7" t="s">
        <v>32</v>
      </c>
      <c r="L1" s="7" t="s">
        <v>33</v>
      </c>
      <c r="M1" s="7" t="s">
        <v>34</v>
      </c>
      <c r="N1" s="7" t="s">
        <v>35</v>
      </c>
      <c r="O1" s="7" t="s">
        <v>36</v>
      </c>
      <c r="P1" s="14" t="s">
        <v>37</v>
      </c>
      <c r="Q1" s="6" t="s">
        <v>79</v>
      </c>
      <c r="R1" s="47" t="s">
        <v>98</v>
      </c>
    </row>
    <row r="2" spans="1:18">
      <c r="A2" s="1">
        <f>Timeline!A2</f>
        <v>1</v>
      </c>
      <c r="B2" s="2">
        <f>Timeline!B2</f>
        <v>45658</v>
      </c>
      <c r="C2" s="1">
        <f>IF(AND(A2&gt;=Inputs!$I$3+1,A2&lt;=Inputs!$I$3+Inputs!$H$3),1,0)</f>
        <v>0</v>
      </c>
      <c r="D2" s="1">
        <f>IF(AND(A2&gt;=Inputs!$I$3+1,A2&lt;=Inputs!$I$3+Inputs!$G$3),1,0)</f>
        <v>0</v>
      </c>
      <c r="E2" s="19">
        <f>Inputs!$E$3*POWER(1+Inputs!$F$3, (A2-1)/12)</f>
        <v>50</v>
      </c>
      <c r="F2" s="19">
        <f>C2*(1-D2)*(E2/12)*Inputs!$D$3</f>
        <v>0</v>
      </c>
      <c r="G2" s="19">
        <f>Inputs!$J$3*POWER(1+Inputs!$K$3, (A2-1)/12)</f>
        <v>12</v>
      </c>
      <c r="H2" s="19">
        <f>(G2/12)*Inputs!$D$3</f>
        <v>10000</v>
      </c>
      <c r="I2" s="19">
        <f>C2*Inputs!$L$3*H2</f>
        <v>0</v>
      </c>
      <c r="J2" s="19">
        <f>-(F2+I2)*Inputs!$M$3</f>
        <v>0</v>
      </c>
      <c r="K2" s="19">
        <f t="shared" ref="K2:K13" si="0">F2+I2+J2-H2</f>
        <v>-10000</v>
      </c>
      <c r="L2" s="19">
        <f>IF(A2&lt;=Inputs!$P$3*12,-(Inputs!$N$3*Inputs!$D$3)/(Inputs!$P$3*12),0)</f>
        <v>-3333.3333333333335</v>
      </c>
      <c r="M2" s="19">
        <f>IF(A2&lt;=Inputs!$Q$3*12,-(Inputs!$O$3*((Inputs!$E$3/12)*Inputs!$D$3*(Inputs!$H$3-Inputs!$G$3)))/(Inputs!$Q$3*12),0)</f>
        <v>-2048.6111111111113</v>
      </c>
      <c r="N2" s="19">
        <f t="shared" ref="N2:N13" si="1">K2+L2+M2</f>
        <v>-15381.944444444445</v>
      </c>
      <c r="O2" s="19">
        <f>-( Inputs!$R$3*( Inputs!$U$3*Inputs!$V$3 + (1-Inputs!$U$3)*(Inputs!$S$3+Inputs!$T$3) ) )/12</f>
        <v>-26041.666666666668</v>
      </c>
      <c r="P2" s="19">
        <f t="shared" ref="P2:P13" si="2">N2+O2</f>
        <v>-41423.611111111109</v>
      </c>
      <c r="Q2" s="1" t="s">
        <v>84</v>
      </c>
      <c r="R2" s="19" t="s">
        <v>100</v>
      </c>
    </row>
    <row r="3" spans="1:18">
      <c r="A3" s="1">
        <f>Timeline!A3</f>
        <v>2</v>
      </c>
      <c r="B3" s="2">
        <f>Timeline!B3</f>
        <v>45689</v>
      </c>
      <c r="C3" s="1">
        <f>IF(AND(A3&gt;=Inputs!$I$3+1,A3&lt;=Inputs!$I$3+Inputs!$H$3),1,0)</f>
        <v>1</v>
      </c>
      <c r="D3" s="1">
        <f>IF(AND(A3&gt;=Inputs!$I$3+1,A3&lt;=Inputs!$I$3+Inputs!$G$3),1,0)</f>
        <v>1</v>
      </c>
      <c r="E3" s="19">
        <f>Inputs!$E$3*POWER(1+Inputs!$F$3, (A3-1)/12)</f>
        <v>50.203706189182419</v>
      </c>
      <c r="F3" s="19">
        <f>C3*(1-D3)*(E3/12)*Inputs!$D$3</f>
        <v>0</v>
      </c>
      <c r="G3" s="19">
        <f>Inputs!$J$3*POWER(1+Inputs!$K$3, (A3-1)/12)</f>
        <v>12.014897852597391</v>
      </c>
      <c r="H3" s="19">
        <f>(G3/12)*Inputs!$D$3</f>
        <v>10012.414877164492</v>
      </c>
      <c r="I3" s="19">
        <f>C3*Inputs!$L$3*H3</f>
        <v>9011.173389448044</v>
      </c>
      <c r="J3" s="19">
        <f>-(F3+I3)*Inputs!$M$3</f>
        <v>-45.055866947240219</v>
      </c>
      <c r="K3" s="19">
        <f t="shared" si="0"/>
        <v>-1046.2973546636877</v>
      </c>
      <c r="L3" s="19">
        <f>IF(A3&lt;=Inputs!$P$3*12,-(Inputs!$N$3*Inputs!$D$3)/(Inputs!$P$3*12),0)</f>
        <v>-3333.3333333333335</v>
      </c>
      <c r="M3" s="19">
        <f>IF(A3&lt;=Inputs!$Q$3*12,-(Inputs!$O$3*((Inputs!$E$3/12)*Inputs!$D$3*(Inputs!$H$3-Inputs!$G$3)))/(Inputs!$Q$3*12),0)</f>
        <v>-2048.6111111111113</v>
      </c>
      <c r="N3" s="19">
        <f t="shared" si="1"/>
        <v>-6428.2417991081329</v>
      </c>
      <c r="O3" s="19">
        <f>-( Inputs!$R$3*( Inputs!$U$3*Inputs!$V$3 + (1-Inputs!$U$3)*(Inputs!$S$3+Inputs!$T$3) ) )/12</f>
        <v>-26041.666666666668</v>
      </c>
      <c r="P3" s="19">
        <f t="shared" si="2"/>
        <v>-32469.908465774803</v>
      </c>
      <c r="Q3" s="1" t="s">
        <v>84</v>
      </c>
      <c r="R3" s="19" t="s">
        <v>100</v>
      </c>
    </row>
    <row r="4" spans="1:18">
      <c r="A4" s="1">
        <f>Timeline!A4</f>
        <v>3</v>
      </c>
      <c r="B4" s="2">
        <f>Timeline!B4</f>
        <v>45717</v>
      </c>
      <c r="C4" s="1">
        <f>IF(AND(A4&gt;=Inputs!$I$3+1,A4&lt;=Inputs!$I$3+Inputs!$H$3),1,0)</f>
        <v>1</v>
      </c>
      <c r="D4" s="1">
        <f>IF(AND(A4&gt;=Inputs!$I$3+1,A4&lt;=Inputs!$I$3+Inputs!$G$3),1,0)</f>
        <v>0</v>
      </c>
      <c r="E4" s="19">
        <f>Inputs!$E$3*POWER(1+Inputs!$F$3, (A4-1)/12)</f>
        <v>50.408242302595049</v>
      </c>
      <c r="F4" s="19">
        <f>C4*(1-D4)*(E4/12)*Inputs!$D$3</f>
        <v>42006.868585495868</v>
      </c>
      <c r="G4" s="19">
        <f>Inputs!$J$3*POWER(1+Inputs!$K$3, (A4-1)/12)</f>
        <v>12.029814200695785</v>
      </c>
      <c r="H4" s="19">
        <f>(G4/12)*Inputs!$D$3</f>
        <v>10024.845167246487</v>
      </c>
      <c r="I4" s="19">
        <f>C4*Inputs!$L$3*H4</f>
        <v>9022.3606505218395</v>
      </c>
      <c r="J4" s="19">
        <f>-(F4+I4)*Inputs!$M$3</f>
        <v>-255.14614618008855</v>
      </c>
      <c r="K4" s="19">
        <f t="shared" si="0"/>
        <v>40749.237922591135</v>
      </c>
      <c r="L4" s="19">
        <f>IF(A4&lt;=Inputs!$P$3*12,-(Inputs!$N$3*Inputs!$D$3)/(Inputs!$P$3*12),0)</f>
        <v>-3333.3333333333335</v>
      </c>
      <c r="M4" s="19">
        <f>IF(A4&lt;=Inputs!$Q$3*12,-(Inputs!$O$3*((Inputs!$E$3/12)*Inputs!$D$3*(Inputs!$H$3-Inputs!$G$3)))/(Inputs!$Q$3*12),0)</f>
        <v>-2048.6111111111113</v>
      </c>
      <c r="N4" s="19">
        <f t="shared" si="1"/>
        <v>35367.29347814669</v>
      </c>
      <c r="O4" s="19">
        <f>-( Inputs!$R$3*( Inputs!$U$3*Inputs!$V$3 + (1-Inputs!$U$3)*(Inputs!$S$3+Inputs!$T$3) ) )/12</f>
        <v>-26041.666666666668</v>
      </c>
      <c r="P4" s="19">
        <f t="shared" si="2"/>
        <v>9325.6268114800223</v>
      </c>
      <c r="Q4" s="1" t="s">
        <v>84</v>
      </c>
      <c r="R4" s="19" t="s">
        <v>100</v>
      </c>
    </row>
    <row r="5" spans="1:18">
      <c r="A5" s="1">
        <f>Timeline!A5</f>
        <v>4</v>
      </c>
      <c r="B5" s="2">
        <f>Timeline!B5</f>
        <v>45748</v>
      </c>
      <c r="C5" s="1">
        <f>IF(AND(A5&gt;=Inputs!$I$3+1,A5&lt;=Inputs!$I$3+Inputs!$H$3),1,0)</f>
        <v>1</v>
      </c>
      <c r="D5" s="1">
        <f>IF(AND(A5&gt;=Inputs!$I$3+1,A5&lt;=Inputs!$I$3+Inputs!$G$3),1,0)</f>
        <v>0</v>
      </c>
      <c r="E5" s="19">
        <f>Inputs!$E$3*POWER(1+Inputs!$F$3, (A5-1)/12)</f>
        <v>50.613611721451967</v>
      </c>
      <c r="F5" s="19">
        <f>C5*(1-D5)*(E5/12)*Inputs!$D$3</f>
        <v>42178.00976787664</v>
      </c>
      <c r="G5" s="19">
        <f>Inputs!$J$3*POWER(1+Inputs!$K$3, (A5-1)/12)</f>
        <v>12.044749067257115</v>
      </c>
      <c r="H5" s="19">
        <f>(G5/12)*Inputs!$D$3</f>
        <v>10037.290889380929</v>
      </c>
      <c r="I5" s="19">
        <f>C5*Inputs!$L$3*H5</f>
        <v>9033.5618004428361</v>
      </c>
      <c r="J5" s="19">
        <f>-(F5+I5)*Inputs!$M$3</f>
        <v>-256.05785784159735</v>
      </c>
      <c r="K5" s="19">
        <f t="shared" si="0"/>
        <v>40918.222821096948</v>
      </c>
      <c r="L5" s="19">
        <f>IF(A5&lt;=Inputs!$P$3*12,-(Inputs!$N$3*Inputs!$D$3)/(Inputs!$P$3*12),0)</f>
        <v>-3333.3333333333335</v>
      </c>
      <c r="M5" s="19">
        <f>IF(A5&lt;=Inputs!$Q$3*12,-(Inputs!$O$3*((Inputs!$E$3/12)*Inputs!$D$3*(Inputs!$H$3-Inputs!$G$3)))/(Inputs!$Q$3*12),0)</f>
        <v>-2048.6111111111113</v>
      </c>
      <c r="N5" s="19">
        <f t="shared" si="1"/>
        <v>35536.278376652503</v>
      </c>
      <c r="O5" s="19">
        <f>-( Inputs!$R$3*( Inputs!$U$3*Inputs!$V$3 + (1-Inputs!$U$3)*(Inputs!$S$3+Inputs!$T$3) ) )/12</f>
        <v>-26041.666666666668</v>
      </c>
      <c r="P5" s="19">
        <f t="shared" si="2"/>
        <v>9494.6117099858348</v>
      </c>
      <c r="Q5" s="1" t="s">
        <v>84</v>
      </c>
      <c r="R5" s="19" t="s">
        <v>104</v>
      </c>
    </row>
    <row r="6" spans="1:18">
      <c r="A6" s="1">
        <f>Timeline!A6</f>
        <v>5</v>
      </c>
      <c r="B6" s="2">
        <f>Timeline!B6</f>
        <v>45778</v>
      </c>
      <c r="C6" s="1">
        <f>IF(AND(A6&gt;=Inputs!$I$3+1,A6&lt;=Inputs!$I$3+Inputs!$H$3),1,0)</f>
        <v>1</v>
      </c>
      <c r="D6" s="1">
        <f>IF(AND(A6&gt;=Inputs!$I$3+1,A6&lt;=Inputs!$I$3+Inputs!$G$3),1,0)</f>
        <v>0</v>
      </c>
      <c r="E6" s="19">
        <f>Inputs!$E$3*POWER(1+Inputs!$F$3, (A6-1)/12)</f>
        <v>50.819817840742672</v>
      </c>
      <c r="F6" s="19">
        <f>C6*(1-D6)*(E6/12)*Inputs!$D$3</f>
        <v>42349.848200618893</v>
      </c>
      <c r="G6" s="19">
        <f>Inputs!$J$3*POWER(1+Inputs!$K$3, (A6-1)/12)</f>
        <v>12.05970247527183</v>
      </c>
      <c r="H6" s="19">
        <f>(G6/12)*Inputs!$D$3</f>
        <v>10049.752062726524</v>
      </c>
      <c r="I6" s="19">
        <f>C6*Inputs!$L$3*H6</f>
        <v>9044.776856453871</v>
      </c>
      <c r="J6" s="19">
        <f>-(F6+I6)*Inputs!$M$3</f>
        <v>-256.97312528536384</v>
      </c>
      <c r="K6" s="19">
        <f t="shared" si="0"/>
        <v>41087.899869060871</v>
      </c>
      <c r="L6" s="19">
        <f>IF(A6&lt;=Inputs!$P$3*12,-(Inputs!$N$3*Inputs!$D$3)/(Inputs!$P$3*12),0)</f>
        <v>-3333.3333333333335</v>
      </c>
      <c r="M6" s="19">
        <f>IF(A6&lt;=Inputs!$Q$3*12,-(Inputs!$O$3*((Inputs!$E$3/12)*Inputs!$D$3*(Inputs!$H$3-Inputs!$G$3)))/(Inputs!$Q$3*12),0)</f>
        <v>-2048.6111111111113</v>
      </c>
      <c r="N6" s="19">
        <f t="shared" si="1"/>
        <v>35705.955424616426</v>
      </c>
      <c r="O6" s="19">
        <f>-( Inputs!$R$3*( Inputs!$U$3*Inputs!$V$3 + (1-Inputs!$U$3)*(Inputs!$S$3+Inputs!$T$3) ) )/12</f>
        <v>-26041.666666666668</v>
      </c>
      <c r="P6" s="19">
        <f t="shared" si="2"/>
        <v>9664.2887579497583</v>
      </c>
      <c r="Q6" s="1" t="s">
        <v>84</v>
      </c>
      <c r="R6" s="19" t="s">
        <v>104</v>
      </c>
    </row>
    <row r="7" spans="1:18">
      <c r="A7" s="1">
        <f>Timeline!A7</f>
        <v>6</v>
      </c>
      <c r="B7" s="2">
        <f>Timeline!B7</f>
        <v>45809</v>
      </c>
      <c r="C7" s="1">
        <f>IF(AND(A7&gt;=Inputs!$I$3+1,A7&lt;=Inputs!$I$3+Inputs!$H$3),1,0)</f>
        <v>1</v>
      </c>
      <c r="D7" s="1">
        <f>IF(AND(A7&gt;=Inputs!$I$3+1,A7&lt;=Inputs!$I$3+Inputs!$G$3),1,0)</f>
        <v>0</v>
      </c>
      <c r="E7" s="19">
        <f>Inputs!$E$3*POWER(1+Inputs!$F$3, (A7-1)/12)</f>
        <v>51.026864069288315</v>
      </c>
      <c r="F7" s="19">
        <f>C7*(1-D7)*(E7/12)*Inputs!$D$3</f>
        <v>42522.386724406926</v>
      </c>
      <c r="G7" s="19">
        <f>Inputs!$J$3*POWER(1+Inputs!$K$3, (A7-1)/12)</f>
        <v>12.074674447758913</v>
      </c>
      <c r="H7" s="19">
        <f>(G7/12)*Inputs!$D$3</f>
        <v>10062.228706465761</v>
      </c>
      <c r="I7" s="19">
        <f>C7*Inputs!$L$3*H7</f>
        <v>9056.0058358191854</v>
      </c>
      <c r="J7" s="19">
        <f>-(F7+I7)*Inputs!$M$3</f>
        <v>-257.8919628011306</v>
      </c>
      <c r="K7" s="19">
        <f t="shared" si="0"/>
        <v>41258.271890959222</v>
      </c>
      <c r="L7" s="19">
        <f>IF(A7&lt;=Inputs!$P$3*12,-(Inputs!$N$3*Inputs!$D$3)/(Inputs!$P$3*12),0)</f>
        <v>-3333.3333333333335</v>
      </c>
      <c r="M7" s="19">
        <f>IF(A7&lt;=Inputs!$Q$3*12,-(Inputs!$O$3*((Inputs!$E$3/12)*Inputs!$D$3*(Inputs!$H$3-Inputs!$G$3)))/(Inputs!$Q$3*12),0)</f>
        <v>-2048.6111111111113</v>
      </c>
      <c r="N7" s="19">
        <f t="shared" si="1"/>
        <v>35876.327446514777</v>
      </c>
      <c r="O7" s="19">
        <f>-( Inputs!$R$3*( Inputs!$U$3*Inputs!$V$3 + (1-Inputs!$U$3)*(Inputs!$S$3+Inputs!$T$3) ) )/12</f>
        <v>-26041.666666666668</v>
      </c>
      <c r="P7" s="19">
        <f t="shared" si="2"/>
        <v>9834.6607798481091</v>
      </c>
      <c r="Q7" s="1" t="s">
        <v>84</v>
      </c>
      <c r="R7" s="19" t="s">
        <v>104</v>
      </c>
    </row>
    <row r="8" spans="1:18">
      <c r="A8" s="1">
        <f>Timeline!A8</f>
        <v>7</v>
      </c>
      <c r="B8" s="2">
        <f>Timeline!B8</f>
        <v>45839</v>
      </c>
      <c r="C8" s="1">
        <f>IF(AND(A8&gt;=Inputs!$I$3+1,A8&lt;=Inputs!$I$3+Inputs!$H$3),1,0)</f>
        <v>1</v>
      </c>
      <c r="D8" s="1">
        <f>IF(AND(A8&gt;=Inputs!$I$3+1,A8&lt;=Inputs!$I$3+Inputs!$G$3),1,0)</f>
        <v>0</v>
      </c>
      <c r="E8" s="19">
        <f>Inputs!$E$3*POWER(1+Inputs!$F$3, (A8-1)/12)</f>
        <v>51.234753829797995</v>
      </c>
      <c r="F8" s="19">
        <f>C8*(1-D8)*(E8/12)*Inputs!$D$3</f>
        <v>42695.628191498326</v>
      </c>
      <c r="G8" s="19">
        <f>Inputs!$J$3*POWER(1+Inputs!$K$3, (A8-1)/12)</f>
        <v>12.08966500776593</v>
      </c>
      <c r="H8" s="19">
        <f>(G8/12)*Inputs!$D$3</f>
        <v>10074.720839804942</v>
      </c>
      <c r="I8" s="19">
        <f>C8*Inputs!$L$3*H8</f>
        <v>9067.2487558244484</v>
      </c>
      <c r="J8" s="19">
        <f>-(F8+I8)*Inputs!$M$3</f>
        <v>-258.81438473661387</v>
      </c>
      <c r="K8" s="19">
        <f t="shared" si="0"/>
        <v>41429.341722781217</v>
      </c>
      <c r="L8" s="19">
        <f>IF(A8&lt;=Inputs!$P$3*12,-(Inputs!$N$3*Inputs!$D$3)/(Inputs!$P$3*12),0)</f>
        <v>-3333.3333333333335</v>
      </c>
      <c r="M8" s="19">
        <f>IF(A8&lt;=Inputs!$Q$3*12,-(Inputs!$O$3*((Inputs!$E$3/12)*Inputs!$D$3*(Inputs!$H$3-Inputs!$G$3)))/(Inputs!$Q$3*12),0)</f>
        <v>-2048.6111111111113</v>
      </c>
      <c r="N8" s="19">
        <f t="shared" si="1"/>
        <v>36047.397278336772</v>
      </c>
      <c r="O8" s="19">
        <f>-( Inputs!$R$3*( Inputs!$U$3*Inputs!$V$3 + (1-Inputs!$U$3)*(Inputs!$S$3+Inputs!$T$3) ) )/12</f>
        <v>-26041.666666666668</v>
      </c>
      <c r="P8" s="19">
        <f t="shared" si="2"/>
        <v>10005.730611670104</v>
      </c>
      <c r="Q8" s="1" t="s">
        <v>84</v>
      </c>
      <c r="R8" s="19" t="s">
        <v>105</v>
      </c>
    </row>
    <row r="9" spans="1:18">
      <c r="A9" s="1">
        <f>Timeline!A9</f>
        <v>8</v>
      </c>
      <c r="B9" s="2">
        <f>Timeline!B9</f>
        <v>45870</v>
      </c>
      <c r="C9" s="1">
        <f>IF(AND(A9&gt;=Inputs!$I$3+1,A9&lt;=Inputs!$I$3+Inputs!$H$3),1,0)</f>
        <v>1</v>
      </c>
      <c r="D9" s="1">
        <f>IF(AND(A9&gt;=Inputs!$I$3+1,A9&lt;=Inputs!$I$3+Inputs!$G$3),1,0)</f>
        <v>0</v>
      </c>
      <c r="E9" s="19">
        <f>Inputs!$E$3*POWER(1+Inputs!$F$3, (A9-1)/12)</f>
        <v>51.44349055892534</v>
      </c>
      <c r="F9" s="19">
        <f>C9*(1-D9)*(E9/12)*Inputs!$D$3</f>
        <v>42869.575465771115</v>
      </c>
      <c r="G9" s="19">
        <f>Inputs!$J$3*POWER(1+Inputs!$K$3, (A9-1)/12)</f>
        <v>12.104674178369059</v>
      </c>
      <c r="H9" s="19">
        <f>(G9/12)*Inputs!$D$3</f>
        <v>10087.228481974214</v>
      </c>
      <c r="I9" s="19">
        <f>C9*Inputs!$L$3*H9</f>
        <v>9078.5056337767928</v>
      </c>
      <c r="J9" s="19">
        <f>-(F9+I9)*Inputs!$M$3</f>
        <v>-259.74040549773957</v>
      </c>
      <c r="K9" s="19">
        <f t="shared" si="0"/>
        <v>41601.112212075961</v>
      </c>
      <c r="L9" s="19">
        <f>IF(A9&lt;=Inputs!$P$3*12,-(Inputs!$N$3*Inputs!$D$3)/(Inputs!$P$3*12),0)</f>
        <v>-3333.3333333333335</v>
      </c>
      <c r="M9" s="19">
        <f>IF(A9&lt;=Inputs!$Q$3*12,-(Inputs!$O$3*((Inputs!$E$3/12)*Inputs!$D$3*(Inputs!$H$3-Inputs!$G$3)))/(Inputs!$Q$3*12),0)</f>
        <v>-2048.6111111111113</v>
      </c>
      <c r="N9" s="19">
        <f t="shared" si="1"/>
        <v>36219.167767631516</v>
      </c>
      <c r="O9" s="19">
        <f>-( Inputs!$R$3*( Inputs!$U$3*Inputs!$V$3 + (1-Inputs!$U$3)*(Inputs!$S$3+Inputs!$T$3) ) )/12</f>
        <v>-26041.666666666668</v>
      </c>
      <c r="P9" s="19">
        <f t="shared" si="2"/>
        <v>10177.501100964848</v>
      </c>
      <c r="Q9" s="1" t="s">
        <v>84</v>
      </c>
      <c r="R9" s="19" t="s">
        <v>105</v>
      </c>
    </row>
    <row r="10" spans="1:18">
      <c r="A10" s="1">
        <f>Timeline!A10</f>
        <v>9</v>
      </c>
      <c r="B10" s="2">
        <f>Timeline!B10</f>
        <v>45901</v>
      </c>
      <c r="C10" s="1">
        <f>IF(AND(A10&gt;=Inputs!$I$3+1,A10&lt;=Inputs!$I$3+Inputs!$H$3),1,0)</f>
        <v>1</v>
      </c>
      <c r="D10" s="1">
        <f>IF(AND(A10&gt;=Inputs!$I$3+1,A10&lt;=Inputs!$I$3+Inputs!$G$3),1,0)</f>
        <v>0</v>
      </c>
      <c r="E10" s="19">
        <f>Inputs!$E$3*POWER(1+Inputs!$F$3, (A10-1)/12)</f>
        <v>51.653077707325345</v>
      </c>
      <c r="F10" s="19">
        <f>C10*(1-D10)*(E10/12)*Inputs!$D$3</f>
        <v>43044.231422771118</v>
      </c>
      <c r="G10" s="19">
        <f>Inputs!$J$3*POWER(1+Inputs!$K$3, (A10-1)/12)</f>
        <v>12.119701982673124</v>
      </c>
      <c r="H10" s="19">
        <f>(G10/12)*Inputs!$D$3</f>
        <v>10099.751652227604</v>
      </c>
      <c r="I10" s="19">
        <f>C10*Inputs!$L$3*H10</f>
        <v>9089.7764870048431</v>
      </c>
      <c r="J10" s="19">
        <f>-(F10+I10)*Inputs!$M$3</f>
        <v>-260.6700395488798</v>
      </c>
      <c r="K10" s="19">
        <f t="shared" si="0"/>
        <v>41773.586217999473</v>
      </c>
      <c r="L10" s="19">
        <f>IF(A10&lt;=Inputs!$P$3*12,-(Inputs!$N$3*Inputs!$D$3)/(Inputs!$P$3*12),0)</f>
        <v>-3333.3333333333335</v>
      </c>
      <c r="M10" s="19">
        <f>IF(A10&lt;=Inputs!$Q$3*12,-(Inputs!$O$3*((Inputs!$E$3/12)*Inputs!$D$3*(Inputs!$H$3-Inputs!$G$3)))/(Inputs!$Q$3*12),0)</f>
        <v>-2048.6111111111113</v>
      </c>
      <c r="N10" s="19">
        <f t="shared" si="1"/>
        <v>36391.641773555028</v>
      </c>
      <c r="O10" s="19">
        <f>-( Inputs!$R$3*( Inputs!$U$3*Inputs!$V$3 + (1-Inputs!$U$3)*(Inputs!$S$3+Inputs!$T$3) ) )/12</f>
        <v>-26041.666666666668</v>
      </c>
      <c r="P10" s="19">
        <f t="shared" si="2"/>
        <v>10349.97510688836</v>
      </c>
      <c r="Q10" s="1" t="s">
        <v>84</v>
      </c>
      <c r="R10" s="19" t="s">
        <v>105</v>
      </c>
    </row>
    <row r="11" spans="1:18">
      <c r="A11" s="1">
        <f>Timeline!A11</f>
        <v>10</v>
      </c>
      <c r="B11" s="2">
        <f>Timeline!B11</f>
        <v>45931</v>
      </c>
      <c r="C11" s="1">
        <f>IF(AND(A11&gt;=Inputs!$I$3+1,A11&lt;=Inputs!$I$3+Inputs!$H$3),1,0)</f>
        <v>1</v>
      </c>
      <c r="D11" s="1">
        <f>IF(AND(A11&gt;=Inputs!$I$3+1,A11&lt;=Inputs!$I$3+Inputs!$G$3),1,0)</f>
        <v>0</v>
      </c>
      <c r="E11" s="19">
        <f>Inputs!$E$3*POWER(1+Inputs!$F$3, (A11-1)/12)</f>
        <v>51.863518739711388</v>
      </c>
      <c r="F11" s="19">
        <f>C11*(1-D11)*(E11/12)*Inputs!$D$3</f>
        <v>43219.598949759493</v>
      </c>
      <c r="G11" s="19">
        <f>Inputs!$J$3*POWER(1+Inputs!$K$3, (A11-1)/12)</f>
        <v>12.13474844381164</v>
      </c>
      <c r="H11" s="19">
        <f>(G11/12)*Inputs!$D$3</f>
        <v>10112.290369843033</v>
      </c>
      <c r="I11" s="19">
        <f>C11*Inputs!$L$3*H11</f>
        <v>9101.0613328587297</v>
      </c>
      <c r="J11" s="19">
        <f>-(F11+I11)*Inputs!$M$3</f>
        <v>-261.60330141309112</v>
      </c>
      <c r="K11" s="19">
        <f t="shared" si="0"/>
        <v>41946.766611362102</v>
      </c>
      <c r="L11" s="19">
        <f>IF(A11&lt;=Inputs!$P$3*12,-(Inputs!$N$3*Inputs!$D$3)/(Inputs!$P$3*12),0)</f>
        <v>-3333.3333333333335</v>
      </c>
      <c r="M11" s="19">
        <f>IF(A11&lt;=Inputs!$Q$3*12,-(Inputs!$O$3*((Inputs!$E$3/12)*Inputs!$D$3*(Inputs!$H$3-Inputs!$G$3)))/(Inputs!$Q$3*12),0)</f>
        <v>-2048.6111111111113</v>
      </c>
      <c r="N11" s="19">
        <f t="shared" si="1"/>
        <v>36564.822166917656</v>
      </c>
      <c r="O11" s="19">
        <f>-( Inputs!$R$3*( Inputs!$U$3*Inputs!$V$3 + (1-Inputs!$U$3)*(Inputs!$S$3+Inputs!$T$3) ) )/12</f>
        <v>-26041.666666666668</v>
      </c>
      <c r="P11" s="19">
        <f t="shared" si="2"/>
        <v>10523.155500250989</v>
      </c>
      <c r="Q11" s="1" t="s">
        <v>84</v>
      </c>
      <c r="R11" s="19" t="s">
        <v>106</v>
      </c>
    </row>
    <row r="12" spans="1:18">
      <c r="A12" s="1">
        <f>Timeline!A12</f>
        <v>11</v>
      </c>
      <c r="B12" s="2">
        <f>Timeline!B12</f>
        <v>45962</v>
      </c>
      <c r="C12" s="1">
        <f>IF(AND(A12&gt;=Inputs!$I$3+1,A12&lt;=Inputs!$I$3+Inputs!$H$3),1,0)</f>
        <v>1</v>
      </c>
      <c r="D12" s="1">
        <f>IF(AND(A12&gt;=Inputs!$I$3+1,A12&lt;=Inputs!$I$3+Inputs!$G$3),1,0)</f>
        <v>0</v>
      </c>
      <c r="E12" s="19">
        <f>Inputs!$E$3*POWER(1+Inputs!$F$3, (A12-1)/12)</f>
        <v>52.074817134912543</v>
      </c>
      <c r="F12" s="19">
        <f>C12*(1-D12)*(E12/12)*Inputs!$D$3</f>
        <v>43395.680945760454</v>
      </c>
      <c r="G12" s="19">
        <f>Inputs!$J$3*POWER(1+Inputs!$K$3, (A12-1)/12)</f>
        <v>12.149813584946834</v>
      </c>
      <c r="H12" s="19">
        <f>(G12/12)*Inputs!$D$3</f>
        <v>10124.844654122362</v>
      </c>
      <c r="I12" s="19">
        <f>C12*Inputs!$L$3*H12</f>
        <v>9112.3601887101267</v>
      </c>
      <c r="J12" s="19">
        <f>-(F12+I12)*Inputs!$M$3</f>
        <v>-262.5402056723529</v>
      </c>
      <c r="K12" s="19">
        <f t="shared" si="0"/>
        <v>42120.656274675865</v>
      </c>
      <c r="L12" s="19">
        <f>IF(A12&lt;=Inputs!$P$3*12,-(Inputs!$N$3*Inputs!$D$3)/(Inputs!$P$3*12),0)</f>
        <v>-3333.3333333333335</v>
      </c>
      <c r="M12" s="19">
        <f>IF(A12&lt;=Inputs!$Q$3*12,-(Inputs!$O$3*((Inputs!$E$3/12)*Inputs!$D$3*(Inputs!$H$3-Inputs!$G$3)))/(Inputs!$Q$3*12),0)</f>
        <v>-2048.6111111111113</v>
      </c>
      <c r="N12" s="19">
        <f t="shared" si="1"/>
        <v>36738.711830231419</v>
      </c>
      <c r="O12" s="19">
        <f>-( Inputs!$R$3*( Inputs!$U$3*Inputs!$V$3 + (1-Inputs!$U$3)*(Inputs!$S$3+Inputs!$T$3) ) )/12</f>
        <v>-26041.666666666668</v>
      </c>
      <c r="P12" s="19">
        <f t="shared" si="2"/>
        <v>10697.045163564751</v>
      </c>
      <c r="Q12" s="1" t="s">
        <v>84</v>
      </c>
      <c r="R12" s="19" t="s">
        <v>106</v>
      </c>
    </row>
    <row r="13" spans="1:18">
      <c r="A13" s="1">
        <f>Timeline!A13</f>
        <v>12</v>
      </c>
      <c r="B13" s="2">
        <f>Timeline!B13</f>
        <v>45992</v>
      </c>
      <c r="C13" s="1">
        <f>IF(AND(A13&gt;=Inputs!$I$3+1,A13&lt;=Inputs!$I$3+Inputs!$H$3),1,0)</f>
        <v>1</v>
      </c>
      <c r="D13" s="1">
        <f>IF(AND(A13&gt;=Inputs!$I$3+1,A13&lt;=Inputs!$I$3+Inputs!$G$3),1,0)</f>
        <v>0</v>
      </c>
      <c r="E13" s="19">
        <f>Inputs!$E$3*POWER(1+Inputs!$F$3, (A13-1)/12)</f>
        <v>52.286976385931027</v>
      </c>
      <c r="F13" s="19">
        <f>C13*(1-D13)*(E13/12)*Inputs!$D$3</f>
        <v>43572.48032160919</v>
      </c>
      <c r="G13" s="19">
        <f>Inputs!$J$3*POWER(1+Inputs!$K$3, (A13-1)/12)</f>
        <v>12.164897429269695</v>
      </c>
      <c r="H13" s="19">
        <f>(G13/12)*Inputs!$D$3</f>
        <v>10137.414524391412</v>
      </c>
      <c r="I13" s="19">
        <f>C13*Inputs!$L$3*H13</f>
        <v>9123.6730719522711</v>
      </c>
      <c r="J13" s="19">
        <f>-(F13+I13)*Inputs!$M$3</f>
        <v>-263.48076696780731</v>
      </c>
      <c r="K13" s="19">
        <f t="shared" si="0"/>
        <v>42295.258102202242</v>
      </c>
      <c r="L13" s="19">
        <f>IF(A13&lt;=Inputs!$P$3*12,-(Inputs!$N$3*Inputs!$D$3)/(Inputs!$P$3*12),0)</f>
        <v>-3333.3333333333335</v>
      </c>
      <c r="M13" s="19">
        <f>IF(A13&lt;=Inputs!$Q$3*12,-(Inputs!$O$3*((Inputs!$E$3/12)*Inputs!$D$3*(Inputs!$H$3-Inputs!$G$3)))/(Inputs!$Q$3*12),0)</f>
        <v>-2048.6111111111113</v>
      </c>
      <c r="N13" s="19">
        <f t="shared" si="1"/>
        <v>36913.313657757797</v>
      </c>
      <c r="O13" s="19">
        <f>-( Inputs!$R$3*( Inputs!$U$3*Inputs!$V$3 + (1-Inputs!$U$3)*(Inputs!$S$3+Inputs!$T$3) ) )/12</f>
        <v>-26041.666666666668</v>
      </c>
      <c r="P13" s="19">
        <f t="shared" si="2"/>
        <v>10871.646991091129</v>
      </c>
      <c r="Q13" s="1" t="s">
        <v>84</v>
      </c>
      <c r="R13" s="19" t="s">
        <v>106</v>
      </c>
    </row>
    <row r="14" spans="1:18" s="13" customFormat="1">
      <c r="A14" s="15" t="s">
        <v>38</v>
      </c>
      <c r="B14" s="15"/>
      <c r="C14" s="15"/>
      <c r="D14" s="15"/>
      <c r="E14" s="15"/>
      <c r="F14" s="17">
        <f>SUM(F2:F13)</f>
        <v>427854.30857556802</v>
      </c>
      <c r="G14" s="15"/>
      <c r="H14" s="17">
        <f t="shared" ref="H14:P14" si="3">SUM(H2:H13)</f>
        <v>120822.78222534776</v>
      </c>
      <c r="I14" s="17">
        <f t="shared" si="3"/>
        <v>99740.504002812988</v>
      </c>
      <c r="J14" s="20">
        <f t="shared" si="3"/>
        <v>-2637.9740628919053</v>
      </c>
      <c r="K14" s="17">
        <f t="shared" si="3"/>
        <v>404134.05629014137</v>
      </c>
      <c r="L14" s="20">
        <f t="shared" si="3"/>
        <v>-40000</v>
      </c>
      <c r="M14" s="20">
        <f t="shared" si="3"/>
        <v>-24583.333333333328</v>
      </c>
      <c r="N14" s="17">
        <f t="shared" si="3"/>
        <v>339550.72295680805</v>
      </c>
      <c r="O14" s="20">
        <f t="shared" si="3"/>
        <v>-312500</v>
      </c>
      <c r="P14" s="17">
        <f t="shared" si="3"/>
        <v>27050.722956808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5F048-CFAC-42AA-AFD6-7D6D8A2D917D}">
  <dimension ref="A1:T37"/>
  <sheetViews>
    <sheetView workbookViewId="0">
      <selection activeCell="C42" sqref="C42"/>
    </sheetView>
  </sheetViews>
  <sheetFormatPr defaultRowHeight="13.5"/>
  <cols>
    <col min="1" max="2" width="17.6640625" bestFit="1" customWidth="1"/>
    <col min="3" max="4" width="13.6640625" bestFit="1" customWidth="1"/>
    <col min="5" max="5" width="17.6640625" bestFit="1" customWidth="1"/>
    <col min="6" max="6" width="15" bestFit="1" customWidth="1"/>
    <col min="7" max="7" width="21.6640625" bestFit="1" customWidth="1"/>
    <col min="8" max="8" width="13.53125" bestFit="1" customWidth="1"/>
    <col min="9" max="9" width="16.33203125" bestFit="1" customWidth="1"/>
    <col min="10" max="10" width="14.73046875" bestFit="1" customWidth="1"/>
    <col min="11" max="11" width="20.33203125" bestFit="1" customWidth="1"/>
    <col min="12" max="14" width="14.73046875" bestFit="1" customWidth="1"/>
    <col min="15" max="15" width="24.33203125" bestFit="1" customWidth="1"/>
    <col min="16" max="16" width="14.73046875" bestFit="1" customWidth="1"/>
    <col min="17" max="17" width="13.6640625" bestFit="1" customWidth="1"/>
    <col min="18" max="18" width="12.46484375" bestFit="1" customWidth="1"/>
    <col min="19" max="19" width="28.86328125" bestFit="1" customWidth="1"/>
    <col min="20" max="20" width="24.06640625" bestFit="1" customWidth="1"/>
  </cols>
  <sheetData>
    <row r="1" spans="1:20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78</v>
      </c>
      <c r="R1" t="s">
        <v>97</v>
      </c>
      <c r="S1" t="s">
        <v>123</v>
      </c>
      <c r="T1" t="s">
        <v>124</v>
      </c>
    </row>
    <row r="2" spans="1:20">
      <c r="A2">
        <v>1</v>
      </c>
      <c r="B2" s="46">
        <v>45658</v>
      </c>
      <c r="C2">
        <v>0</v>
      </c>
      <c r="D2">
        <v>0</v>
      </c>
      <c r="E2">
        <v>50</v>
      </c>
      <c r="F2">
        <v>0</v>
      </c>
      <c r="G2">
        <v>12</v>
      </c>
      <c r="H2">
        <v>10000</v>
      </c>
      <c r="I2">
        <v>0</v>
      </c>
      <c r="J2">
        <v>0</v>
      </c>
      <c r="K2">
        <v>-10000</v>
      </c>
      <c r="L2">
        <v>-3333.3333333333335</v>
      </c>
      <c r="M2">
        <v>-2048.6111111111113</v>
      </c>
      <c r="N2">
        <v>-15381.944444444445</v>
      </c>
      <c r="O2">
        <v>-26041.666666666668</v>
      </c>
      <c r="P2">
        <v>-41423.611111111109</v>
      </c>
      <c r="Q2" t="s">
        <v>87</v>
      </c>
      <c r="R2" t="s">
        <v>99</v>
      </c>
      <c r="S2">
        <v>1</v>
      </c>
      <c r="T2" t="s">
        <v>125</v>
      </c>
    </row>
    <row r="3" spans="1:20">
      <c r="A3">
        <v>2</v>
      </c>
      <c r="B3" s="46">
        <v>45689</v>
      </c>
      <c r="C3">
        <v>1</v>
      </c>
      <c r="D3">
        <v>1</v>
      </c>
      <c r="E3">
        <v>50.203706189182419</v>
      </c>
      <c r="F3">
        <v>0</v>
      </c>
      <c r="G3">
        <v>12.014897852597391</v>
      </c>
      <c r="H3">
        <v>10012.414877164492</v>
      </c>
      <c r="I3">
        <v>9011.173389448044</v>
      </c>
      <c r="J3">
        <v>-45.055866947240219</v>
      </c>
      <c r="K3">
        <v>-1046.2973546636877</v>
      </c>
      <c r="L3">
        <v>-3333.3333333333335</v>
      </c>
      <c r="M3">
        <v>-2048.6111111111113</v>
      </c>
      <c r="N3">
        <v>-6428.2417991081329</v>
      </c>
      <c r="O3">
        <v>-26041.666666666668</v>
      </c>
      <c r="P3">
        <v>-32469.908465774803</v>
      </c>
      <c r="Q3" t="s">
        <v>87</v>
      </c>
      <c r="R3" t="s">
        <v>99</v>
      </c>
      <c r="S3">
        <v>2</v>
      </c>
      <c r="T3" t="s">
        <v>126</v>
      </c>
    </row>
    <row r="4" spans="1:20">
      <c r="A4">
        <v>3</v>
      </c>
      <c r="B4" s="46">
        <v>45717</v>
      </c>
      <c r="C4">
        <v>1</v>
      </c>
      <c r="D4">
        <v>0</v>
      </c>
      <c r="E4">
        <v>50.408242302595049</v>
      </c>
      <c r="F4">
        <v>42006.868585495868</v>
      </c>
      <c r="G4">
        <v>12.029814200695785</v>
      </c>
      <c r="H4">
        <v>10024.845167246487</v>
      </c>
      <c r="I4">
        <v>9022.3606505218395</v>
      </c>
      <c r="J4">
        <v>-255.14614618008855</v>
      </c>
      <c r="K4">
        <v>40749.237922591135</v>
      </c>
      <c r="L4">
        <v>-3333.3333333333335</v>
      </c>
      <c r="M4">
        <v>-2048.6111111111113</v>
      </c>
      <c r="N4">
        <v>35367.29347814669</v>
      </c>
      <c r="O4">
        <v>-26041.666666666668</v>
      </c>
      <c r="P4">
        <v>9325.6268114800223</v>
      </c>
      <c r="Q4" t="s">
        <v>87</v>
      </c>
      <c r="R4" t="s">
        <v>99</v>
      </c>
      <c r="S4">
        <v>3</v>
      </c>
      <c r="T4" t="s">
        <v>127</v>
      </c>
    </row>
    <row r="5" spans="1:20">
      <c r="A5">
        <v>4</v>
      </c>
      <c r="B5" s="46">
        <v>45748</v>
      </c>
      <c r="C5">
        <v>1</v>
      </c>
      <c r="D5">
        <v>0</v>
      </c>
      <c r="E5">
        <v>50.613611721451967</v>
      </c>
      <c r="F5">
        <v>42178.00976787664</v>
      </c>
      <c r="G5">
        <v>12.044749067257115</v>
      </c>
      <c r="H5">
        <v>10037.290889380929</v>
      </c>
      <c r="I5">
        <v>9033.5618004428361</v>
      </c>
      <c r="J5">
        <v>-256.05785784159735</v>
      </c>
      <c r="K5">
        <v>40918.222821096948</v>
      </c>
      <c r="L5">
        <v>-3333.3333333333335</v>
      </c>
      <c r="M5">
        <v>-2048.6111111111113</v>
      </c>
      <c r="N5">
        <v>35536.278376652503</v>
      </c>
      <c r="O5">
        <v>-26041.666666666668</v>
      </c>
      <c r="P5">
        <v>9494.6117099858348</v>
      </c>
      <c r="Q5" t="s">
        <v>87</v>
      </c>
      <c r="R5" t="s">
        <v>101</v>
      </c>
      <c r="S5">
        <v>4</v>
      </c>
      <c r="T5" t="s">
        <v>128</v>
      </c>
    </row>
    <row r="6" spans="1:20">
      <c r="A6">
        <v>5</v>
      </c>
      <c r="B6" s="46">
        <v>45778</v>
      </c>
      <c r="C6">
        <v>1</v>
      </c>
      <c r="D6">
        <v>0</v>
      </c>
      <c r="E6">
        <v>50.819817840742672</v>
      </c>
      <c r="F6">
        <v>42349.848200618893</v>
      </c>
      <c r="G6">
        <v>12.05970247527183</v>
      </c>
      <c r="H6">
        <v>10049.752062726524</v>
      </c>
      <c r="I6">
        <v>9044.776856453871</v>
      </c>
      <c r="J6">
        <v>-256.97312528536384</v>
      </c>
      <c r="K6">
        <v>41087.899869060871</v>
      </c>
      <c r="L6">
        <v>-3333.3333333333335</v>
      </c>
      <c r="M6">
        <v>-2048.6111111111113</v>
      </c>
      <c r="N6">
        <v>35705.955424616426</v>
      </c>
      <c r="O6">
        <v>-26041.666666666668</v>
      </c>
      <c r="P6">
        <v>9664.2887579497583</v>
      </c>
      <c r="Q6" t="s">
        <v>87</v>
      </c>
      <c r="R6" t="s">
        <v>101</v>
      </c>
      <c r="S6">
        <v>5</v>
      </c>
      <c r="T6" t="s">
        <v>129</v>
      </c>
    </row>
    <row r="7" spans="1:20">
      <c r="A7">
        <v>6</v>
      </c>
      <c r="B7" s="46">
        <v>45809</v>
      </c>
      <c r="C7">
        <v>1</v>
      </c>
      <c r="D7">
        <v>0</v>
      </c>
      <c r="E7">
        <v>51.026864069288315</v>
      </c>
      <c r="F7">
        <v>42522.386724406926</v>
      </c>
      <c r="G7">
        <v>12.074674447758913</v>
      </c>
      <c r="H7">
        <v>10062.228706465761</v>
      </c>
      <c r="I7">
        <v>9056.0058358191854</v>
      </c>
      <c r="J7">
        <v>-257.8919628011306</v>
      </c>
      <c r="K7">
        <v>41258.271890959222</v>
      </c>
      <c r="L7">
        <v>-3333.3333333333335</v>
      </c>
      <c r="M7">
        <v>-2048.6111111111113</v>
      </c>
      <c r="N7">
        <v>35876.327446514777</v>
      </c>
      <c r="O7">
        <v>-26041.666666666668</v>
      </c>
      <c r="P7">
        <v>9834.6607798481091</v>
      </c>
      <c r="Q7" t="s">
        <v>87</v>
      </c>
      <c r="R7" t="s">
        <v>101</v>
      </c>
      <c r="S7">
        <v>6</v>
      </c>
      <c r="T7" t="s">
        <v>130</v>
      </c>
    </row>
    <row r="8" spans="1:20">
      <c r="A8">
        <v>7</v>
      </c>
      <c r="B8" s="46">
        <v>45839</v>
      </c>
      <c r="C8">
        <v>1</v>
      </c>
      <c r="D8">
        <v>0</v>
      </c>
      <c r="E8">
        <v>51.234753829797995</v>
      </c>
      <c r="F8">
        <v>42695.628191498326</v>
      </c>
      <c r="G8">
        <v>12.08966500776593</v>
      </c>
      <c r="H8">
        <v>10074.720839804942</v>
      </c>
      <c r="I8">
        <v>9067.2487558244484</v>
      </c>
      <c r="J8">
        <v>-258.81438473661387</v>
      </c>
      <c r="K8">
        <v>41429.341722781217</v>
      </c>
      <c r="L8">
        <v>-3333.3333333333335</v>
      </c>
      <c r="M8">
        <v>-2048.6111111111113</v>
      </c>
      <c r="N8">
        <v>36047.397278336772</v>
      </c>
      <c r="O8">
        <v>-26041.666666666668</v>
      </c>
      <c r="P8">
        <v>10005.730611670104</v>
      </c>
      <c r="Q8" t="s">
        <v>87</v>
      </c>
      <c r="R8" t="s">
        <v>102</v>
      </c>
      <c r="S8">
        <v>7</v>
      </c>
      <c r="T8" t="s">
        <v>131</v>
      </c>
    </row>
    <row r="9" spans="1:20">
      <c r="A9">
        <v>8</v>
      </c>
      <c r="B9" s="46">
        <v>45870</v>
      </c>
      <c r="C9">
        <v>1</v>
      </c>
      <c r="D9">
        <v>0</v>
      </c>
      <c r="E9">
        <v>51.44349055892534</v>
      </c>
      <c r="F9">
        <v>42869.575465771115</v>
      </c>
      <c r="G9">
        <v>12.104674178369059</v>
      </c>
      <c r="H9">
        <v>10087.228481974214</v>
      </c>
      <c r="I9">
        <v>9078.5056337767928</v>
      </c>
      <c r="J9">
        <v>-259.74040549773957</v>
      </c>
      <c r="K9">
        <v>41601.112212075961</v>
      </c>
      <c r="L9">
        <v>-3333.3333333333335</v>
      </c>
      <c r="M9">
        <v>-2048.6111111111113</v>
      </c>
      <c r="N9">
        <v>36219.167767631516</v>
      </c>
      <c r="O9">
        <v>-26041.666666666668</v>
      </c>
      <c r="P9">
        <v>10177.501100964848</v>
      </c>
      <c r="Q9" t="s">
        <v>87</v>
      </c>
      <c r="R9" t="s">
        <v>102</v>
      </c>
      <c r="S9">
        <v>8</v>
      </c>
      <c r="T9" t="s">
        <v>132</v>
      </c>
    </row>
    <row r="10" spans="1:20">
      <c r="A10">
        <v>9</v>
      </c>
      <c r="B10" s="46">
        <v>45901</v>
      </c>
      <c r="C10">
        <v>1</v>
      </c>
      <c r="D10">
        <v>0</v>
      </c>
      <c r="E10">
        <v>51.653077707325345</v>
      </c>
      <c r="F10">
        <v>43044.231422771118</v>
      </c>
      <c r="G10">
        <v>12.119701982673124</v>
      </c>
      <c r="H10">
        <v>10099.751652227604</v>
      </c>
      <c r="I10">
        <v>9089.7764870048431</v>
      </c>
      <c r="J10">
        <v>-260.6700395488798</v>
      </c>
      <c r="K10">
        <v>41773.586217999473</v>
      </c>
      <c r="L10">
        <v>-3333.3333333333335</v>
      </c>
      <c r="M10">
        <v>-2048.6111111111113</v>
      </c>
      <c r="N10">
        <v>36391.641773555028</v>
      </c>
      <c r="O10">
        <v>-26041.666666666668</v>
      </c>
      <c r="P10">
        <v>10349.97510688836</v>
      </c>
      <c r="Q10" t="s">
        <v>87</v>
      </c>
      <c r="R10" t="s">
        <v>102</v>
      </c>
      <c r="S10">
        <v>9</v>
      </c>
      <c r="T10" t="s">
        <v>133</v>
      </c>
    </row>
    <row r="11" spans="1:20">
      <c r="A11">
        <v>10</v>
      </c>
      <c r="B11" s="46">
        <v>45931</v>
      </c>
      <c r="C11">
        <v>1</v>
      </c>
      <c r="D11">
        <v>0</v>
      </c>
      <c r="E11">
        <v>51.863518739711388</v>
      </c>
      <c r="F11">
        <v>43219.598949759493</v>
      </c>
      <c r="G11">
        <v>12.13474844381164</v>
      </c>
      <c r="H11">
        <v>10112.290369843033</v>
      </c>
      <c r="I11">
        <v>9101.0613328587297</v>
      </c>
      <c r="J11">
        <v>-261.60330141309112</v>
      </c>
      <c r="K11">
        <v>41946.766611362102</v>
      </c>
      <c r="L11">
        <v>-3333.3333333333335</v>
      </c>
      <c r="M11">
        <v>-2048.6111111111113</v>
      </c>
      <c r="N11">
        <v>36564.822166917656</v>
      </c>
      <c r="O11">
        <v>-26041.666666666668</v>
      </c>
      <c r="P11">
        <v>10523.155500250989</v>
      </c>
      <c r="Q11" t="s">
        <v>87</v>
      </c>
      <c r="R11" t="s">
        <v>103</v>
      </c>
      <c r="S11">
        <v>10</v>
      </c>
      <c r="T11" t="s">
        <v>134</v>
      </c>
    </row>
    <row r="12" spans="1:20">
      <c r="A12">
        <v>11</v>
      </c>
      <c r="B12" s="46">
        <v>45962</v>
      </c>
      <c r="C12">
        <v>1</v>
      </c>
      <c r="D12">
        <v>0</v>
      </c>
      <c r="E12">
        <v>52.074817134912543</v>
      </c>
      <c r="F12">
        <v>43395.680945760454</v>
      </c>
      <c r="G12">
        <v>12.149813584946834</v>
      </c>
      <c r="H12">
        <v>10124.844654122362</v>
      </c>
      <c r="I12">
        <v>9112.3601887101267</v>
      </c>
      <c r="J12">
        <v>-262.5402056723529</v>
      </c>
      <c r="K12">
        <v>42120.656274675865</v>
      </c>
      <c r="L12">
        <v>-3333.3333333333335</v>
      </c>
      <c r="M12">
        <v>-2048.6111111111113</v>
      </c>
      <c r="N12">
        <v>36738.711830231419</v>
      </c>
      <c r="O12">
        <v>-26041.666666666668</v>
      </c>
      <c r="P12">
        <v>10697.045163564751</v>
      </c>
      <c r="Q12" t="s">
        <v>87</v>
      </c>
      <c r="R12" t="s">
        <v>103</v>
      </c>
      <c r="S12">
        <v>11</v>
      </c>
      <c r="T12" t="s">
        <v>135</v>
      </c>
    </row>
    <row r="13" spans="1:20">
      <c r="A13">
        <v>12</v>
      </c>
      <c r="B13" s="46">
        <v>45992</v>
      </c>
      <c r="C13">
        <v>1</v>
      </c>
      <c r="D13">
        <v>0</v>
      </c>
      <c r="E13">
        <v>52.286976385931027</v>
      </c>
      <c r="F13">
        <v>43572.48032160919</v>
      </c>
      <c r="G13">
        <v>12.164897429269695</v>
      </c>
      <c r="H13">
        <v>10137.414524391412</v>
      </c>
      <c r="I13">
        <v>9123.6730719522711</v>
      </c>
      <c r="J13">
        <v>-263.48076696780731</v>
      </c>
      <c r="K13">
        <v>42295.258102202242</v>
      </c>
      <c r="L13">
        <v>-3333.3333333333335</v>
      </c>
      <c r="M13">
        <v>-2048.6111111111113</v>
      </c>
      <c r="N13">
        <v>36913.313657757797</v>
      </c>
      <c r="O13">
        <v>-26041.666666666668</v>
      </c>
      <c r="P13">
        <v>10871.646991091129</v>
      </c>
      <c r="Q13" t="s">
        <v>87</v>
      </c>
      <c r="R13" t="s">
        <v>103</v>
      </c>
      <c r="S13">
        <v>12</v>
      </c>
      <c r="T13" t="s">
        <v>136</v>
      </c>
    </row>
    <row r="14" spans="1:20">
      <c r="A14">
        <v>1</v>
      </c>
      <c r="B14" s="46">
        <v>45658</v>
      </c>
      <c r="C14">
        <v>0</v>
      </c>
      <c r="D14">
        <v>0</v>
      </c>
      <c r="E14">
        <v>50</v>
      </c>
      <c r="F14">
        <v>0</v>
      </c>
      <c r="G14">
        <v>12</v>
      </c>
      <c r="H14">
        <v>10000</v>
      </c>
      <c r="I14">
        <v>0</v>
      </c>
      <c r="J14">
        <v>0</v>
      </c>
      <c r="K14">
        <v>-10000</v>
      </c>
      <c r="L14">
        <v>-3333.3333333333335</v>
      </c>
      <c r="M14">
        <v>-2048.6111111111113</v>
      </c>
      <c r="N14">
        <v>-15381.944444444445</v>
      </c>
      <c r="O14">
        <v>-26041.666666666668</v>
      </c>
      <c r="P14">
        <v>-41423.611111111109</v>
      </c>
      <c r="Q14" t="s">
        <v>85</v>
      </c>
      <c r="R14" t="s">
        <v>99</v>
      </c>
      <c r="S14">
        <v>1</v>
      </c>
      <c r="T14" t="s">
        <v>125</v>
      </c>
    </row>
    <row r="15" spans="1:20">
      <c r="A15">
        <v>2</v>
      </c>
      <c r="B15" s="46">
        <v>45689</v>
      </c>
      <c r="C15">
        <v>1</v>
      </c>
      <c r="D15">
        <v>1</v>
      </c>
      <c r="E15">
        <v>50.123313488615182</v>
      </c>
      <c r="F15">
        <v>0</v>
      </c>
      <c r="G15">
        <v>12.024718035238113</v>
      </c>
      <c r="H15">
        <v>10020.598362698427</v>
      </c>
      <c r="I15">
        <v>8016.4786901587422</v>
      </c>
      <c r="J15">
        <v>-80.164786901587419</v>
      </c>
      <c r="K15">
        <v>-2084.2844594412727</v>
      </c>
      <c r="L15">
        <v>-3333.3333333333335</v>
      </c>
      <c r="M15">
        <v>-2048.6111111111113</v>
      </c>
      <c r="N15">
        <v>-7466.228903885718</v>
      </c>
      <c r="O15">
        <v>-26041.666666666668</v>
      </c>
      <c r="P15">
        <v>-33507.895570552384</v>
      </c>
      <c r="Q15" t="s">
        <v>85</v>
      </c>
      <c r="R15" t="s">
        <v>99</v>
      </c>
      <c r="S15">
        <v>2</v>
      </c>
      <c r="T15" t="s">
        <v>126</v>
      </c>
    </row>
    <row r="16" spans="1:20">
      <c r="A16">
        <v>3</v>
      </c>
      <c r="B16" s="46">
        <v>45717</v>
      </c>
      <c r="C16">
        <v>1</v>
      </c>
      <c r="D16">
        <v>0</v>
      </c>
      <c r="E16">
        <v>50.246931101559845</v>
      </c>
      <c r="F16">
        <v>41872.442584633209</v>
      </c>
      <c r="G16">
        <v>12.04948698558173</v>
      </c>
      <c r="H16">
        <v>10041.239154651443</v>
      </c>
      <c r="I16">
        <v>8032.9913237211549</v>
      </c>
      <c r="J16">
        <v>-499.0543390835436</v>
      </c>
      <c r="K16">
        <v>39365.140414619374</v>
      </c>
      <c r="L16">
        <v>-3333.3333333333335</v>
      </c>
      <c r="M16">
        <v>-2048.6111111111113</v>
      </c>
      <c r="N16">
        <v>33983.195970174929</v>
      </c>
      <c r="O16">
        <v>-26041.666666666668</v>
      </c>
      <c r="P16">
        <v>7941.5293035082614</v>
      </c>
      <c r="Q16" t="s">
        <v>85</v>
      </c>
      <c r="R16" t="s">
        <v>99</v>
      </c>
      <c r="S16">
        <v>3</v>
      </c>
      <c r="T16" t="s">
        <v>127</v>
      </c>
    </row>
    <row r="17" spans="1:20">
      <c r="A17">
        <v>4</v>
      </c>
      <c r="B17" s="46">
        <v>45748</v>
      </c>
      <c r="C17">
        <v>1</v>
      </c>
      <c r="D17">
        <v>0</v>
      </c>
      <c r="E17">
        <v>50.370853588886646</v>
      </c>
      <c r="F17">
        <v>41975.711324072203</v>
      </c>
      <c r="G17">
        <v>12.074306955907634</v>
      </c>
      <c r="H17">
        <v>10061.92246325636</v>
      </c>
      <c r="I17">
        <v>8049.537970605088</v>
      </c>
      <c r="J17">
        <v>-500.25249294677292</v>
      </c>
      <c r="K17">
        <v>39463.074338474151</v>
      </c>
      <c r="L17">
        <v>-3333.3333333333335</v>
      </c>
      <c r="M17">
        <v>-2048.6111111111113</v>
      </c>
      <c r="N17">
        <v>34081.129894029706</v>
      </c>
      <c r="O17">
        <v>-26041.666666666668</v>
      </c>
      <c r="P17">
        <v>8039.4632273630377</v>
      </c>
      <c r="Q17" t="s">
        <v>85</v>
      </c>
      <c r="R17" t="s">
        <v>101</v>
      </c>
      <c r="S17">
        <v>4</v>
      </c>
      <c r="T17" t="s">
        <v>128</v>
      </c>
    </row>
    <row r="18" spans="1:20">
      <c r="A18">
        <v>5</v>
      </c>
      <c r="B18" s="46">
        <v>45778</v>
      </c>
      <c r="C18">
        <v>1</v>
      </c>
      <c r="D18">
        <v>0</v>
      </c>
      <c r="E18">
        <v>50.495081702498048</v>
      </c>
      <c r="F18">
        <v>42079.234752081706</v>
      </c>
      <c r="G18">
        <v>12.099178051308627</v>
      </c>
      <c r="H18">
        <v>10082.648376090521</v>
      </c>
      <c r="I18">
        <v>8066.1187008724173</v>
      </c>
      <c r="J18">
        <v>-501.45353452954123</v>
      </c>
      <c r="K18">
        <v>39561.251542334052</v>
      </c>
      <c r="L18">
        <v>-3333.3333333333335</v>
      </c>
      <c r="M18">
        <v>-2048.6111111111113</v>
      </c>
      <c r="N18">
        <v>34179.307097889607</v>
      </c>
      <c r="O18">
        <v>-26041.666666666668</v>
      </c>
      <c r="P18">
        <v>8137.6404312229388</v>
      </c>
      <c r="Q18" t="s">
        <v>85</v>
      </c>
      <c r="R18" t="s">
        <v>101</v>
      </c>
      <c r="S18">
        <v>5</v>
      </c>
      <c r="T18" t="s">
        <v>129</v>
      </c>
    </row>
    <row r="19" spans="1:20">
      <c r="A19">
        <v>6</v>
      </c>
      <c r="B19" s="46">
        <v>45809</v>
      </c>
      <c r="C19">
        <v>1</v>
      </c>
      <c r="D19">
        <v>0</v>
      </c>
      <c r="E19">
        <v>50.619616196150915</v>
      </c>
      <c r="F19">
        <v>42183.013496792431</v>
      </c>
      <c r="G19">
        <v>12.124100377093999</v>
      </c>
      <c r="H19">
        <v>10103.416980911667</v>
      </c>
      <c r="I19">
        <v>8082.7335847293334</v>
      </c>
      <c r="J19">
        <v>-502.65747081521766</v>
      </c>
      <c r="K19">
        <v>39659.672629794884</v>
      </c>
      <c r="L19">
        <v>-3333.3333333333335</v>
      </c>
      <c r="M19">
        <v>-2048.6111111111113</v>
      </c>
      <c r="N19">
        <v>34277.728185350439</v>
      </c>
      <c r="O19">
        <v>-26041.666666666668</v>
      </c>
      <c r="P19">
        <v>8236.0615186837713</v>
      </c>
      <c r="Q19" t="s">
        <v>85</v>
      </c>
      <c r="R19" t="s">
        <v>101</v>
      </c>
      <c r="S19">
        <v>6</v>
      </c>
      <c r="T19" t="s">
        <v>130</v>
      </c>
    </row>
    <row r="20" spans="1:20">
      <c r="A20">
        <v>7</v>
      </c>
      <c r="B20" s="46">
        <v>45839</v>
      </c>
      <c r="C20">
        <v>1</v>
      </c>
      <c r="D20">
        <v>0</v>
      </c>
      <c r="E20">
        <v>50.744457825461097</v>
      </c>
      <c r="F20">
        <v>42287.048187884247</v>
      </c>
      <c r="G20">
        <v>12.149074038789951</v>
      </c>
      <c r="H20">
        <v>10124.228365658291</v>
      </c>
      <c r="I20">
        <v>8099.382692526633</v>
      </c>
      <c r="J20">
        <v>-503.86430880410882</v>
      </c>
      <c r="K20">
        <v>39758.338205948487</v>
      </c>
      <c r="L20">
        <v>-3333.3333333333335</v>
      </c>
      <c r="M20">
        <v>-2048.6111111111113</v>
      </c>
      <c r="N20">
        <v>34376.393761504041</v>
      </c>
      <c r="O20">
        <v>-26041.666666666668</v>
      </c>
      <c r="P20">
        <v>8334.7270948373734</v>
      </c>
      <c r="Q20" t="s">
        <v>85</v>
      </c>
      <c r="R20" t="s">
        <v>102</v>
      </c>
      <c r="S20">
        <v>7</v>
      </c>
      <c r="T20" t="s">
        <v>131</v>
      </c>
    </row>
    <row r="21" spans="1:20">
      <c r="A21">
        <v>8</v>
      </c>
      <c r="B21" s="46">
        <v>45870</v>
      </c>
      <c r="C21">
        <v>1</v>
      </c>
      <c r="D21">
        <v>0</v>
      </c>
      <c r="E21">
        <v>50.869607347907966</v>
      </c>
      <c r="F21">
        <v>42391.339456589973</v>
      </c>
      <c r="G21">
        <v>12.174099142140058</v>
      </c>
      <c r="H21">
        <v>10145.082618450047</v>
      </c>
      <c r="I21">
        <v>8116.0660947600381</v>
      </c>
      <c r="J21">
        <v>-505.07405551350013</v>
      </c>
      <c r="K21">
        <v>39857.248877386468</v>
      </c>
      <c r="L21">
        <v>-3333.3333333333335</v>
      </c>
      <c r="M21">
        <v>-2048.6111111111113</v>
      </c>
      <c r="N21">
        <v>34475.304432942023</v>
      </c>
      <c r="O21">
        <v>-26041.666666666668</v>
      </c>
      <c r="P21">
        <v>8433.6377662753548</v>
      </c>
      <c r="Q21" t="s">
        <v>85</v>
      </c>
      <c r="R21" t="s">
        <v>102</v>
      </c>
      <c r="S21">
        <v>8</v>
      </c>
      <c r="T21" t="s">
        <v>132</v>
      </c>
    </row>
    <row r="22" spans="1:20">
      <c r="A22">
        <v>9</v>
      </c>
      <c r="B22" s="46">
        <v>45901</v>
      </c>
      <c r="C22">
        <v>1</v>
      </c>
      <c r="D22">
        <v>0</v>
      </c>
      <c r="E22">
        <v>50.99506552283907</v>
      </c>
      <c r="F22">
        <v>42495.887935699226</v>
      </c>
      <c r="G22">
        <v>12.199175793105699</v>
      </c>
      <c r="H22">
        <v>10165.979827588084</v>
      </c>
      <c r="I22">
        <v>8132.7838620704679</v>
      </c>
      <c r="J22">
        <v>-506.28671797769698</v>
      </c>
      <c r="K22">
        <v>39956.40525220392</v>
      </c>
      <c r="L22">
        <v>-3333.3333333333335</v>
      </c>
      <c r="M22">
        <v>-2048.6111111111113</v>
      </c>
      <c r="N22">
        <v>34574.460807759475</v>
      </c>
      <c r="O22">
        <v>-26041.666666666668</v>
      </c>
      <c r="P22">
        <v>8532.794141092807</v>
      </c>
      <c r="Q22" t="s">
        <v>85</v>
      </c>
      <c r="R22" t="s">
        <v>102</v>
      </c>
      <c r="S22">
        <v>9</v>
      </c>
      <c r="T22" t="s">
        <v>133</v>
      </c>
    </row>
    <row r="23" spans="1:20">
      <c r="A23">
        <v>10</v>
      </c>
      <c r="B23" s="46">
        <v>45931</v>
      </c>
      <c r="C23">
        <v>1</v>
      </c>
      <c r="D23">
        <v>0</v>
      </c>
      <c r="E23">
        <v>51.120833111474681</v>
      </c>
      <c r="F23">
        <v>42600.694259562239</v>
      </c>
      <c r="G23">
        <v>12.224304097866527</v>
      </c>
      <c r="H23">
        <v>10186.92008155544</v>
      </c>
      <c r="I23">
        <v>8149.5360652443524</v>
      </c>
      <c r="J23">
        <v>-507.50230324806586</v>
      </c>
      <c r="K23">
        <v>40055.807940003084</v>
      </c>
      <c r="L23">
        <v>-3333.3333333333335</v>
      </c>
      <c r="M23">
        <v>-2048.6111111111113</v>
      </c>
      <c r="N23">
        <v>34673.863495558639</v>
      </c>
      <c r="O23">
        <v>-26041.666666666668</v>
      </c>
      <c r="P23">
        <v>8632.1968288919707</v>
      </c>
      <c r="Q23" t="s">
        <v>85</v>
      </c>
      <c r="R23" t="s">
        <v>103</v>
      </c>
      <c r="S23">
        <v>10</v>
      </c>
      <c r="T23" t="s">
        <v>134</v>
      </c>
    </row>
    <row r="24" spans="1:20">
      <c r="A24">
        <v>11</v>
      </c>
      <c r="B24" s="46">
        <v>45962</v>
      </c>
      <c r="C24">
        <v>1</v>
      </c>
      <c r="D24">
        <v>0</v>
      </c>
      <c r="E24">
        <v>51.246910876912487</v>
      </c>
      <c r="F24">
        <v>42705.759064093741</v>
      </c>
      <c r="G24">
        <v>12.249484162820902</v>
      </c>
      <c r="H24">
        <v>10207.903469017419</v>
      </c>
      <c r="I24">
        <v>8166.3227752139355</v>
      </c>
      <c r="J24">
        <v>-508.7208183930768</v>
      </c>
      <c r="K24">
        <v>40155.457551897183</v>
      </c>
      <c r="L24">
        <v>-3333.3333333333335</v>
      </c>
      <c r="M24">
        <v>-2048.6111111111113</v>
      </c>
      <c r="N24">
        <v>34773.513107452738</v>
      </c>
      <c r="O24">
        <v>-26041.666666666668</v>
      </c>
      <c r="P24">
        <v>8731.8464407860702</v>
      </c>
      <c r="Q24" t="s">
        <v>85</v>
      </c>
      <c r="R24" t="s">
        <v>103</v>
      </c>
      <c r="S24">
        <v>11</v>
      </c>
      <c r="T24" t="s">
        <v>135</v>
      </c>
    </row>
    <row r="25" spans="1:20">
      <c r="A25">
        <v>12</v>
      </c>
      <c r="B25" s="46">
        <v>45992</v>
      </c>
      <c r="C25">
        <v>1</v>
      </c>
      <c r="D25">
        <v>0</v>
      </c>
      <c r="E25">
        <v>51.373299584132162</v>
      </c>
      <c r="F25">
        <v>42811.082986776804</v>
      </c>
      <c r="G25">
        <v>12.274716094586347</v>
      </c>
      <c r="H25">
        <v>10228.930078821955</v>
      </c>
      <c r="I25">
        <v>8183.1440630575644</v>
      </c>
      <c r="J25">
        <v>-509.9422704983437</v>
      </c>
      <c r="K25">
        <v>40255.354700514072</v>
      </c>
      <c r="L25">
        <v>-3333.3333333333335</v>
      </c>
      <c r="M25">
        <v>-2048.6111111111113</v>
      </c>
      <c r="N25">
        <v>34873.410256069626</v>
      </c>
      <c r="O25">
        <v>-26041.666666666668</v>
      </c>
      <c r="P25">
        <v>8831.7435894029586</v>
      </c>
      <c r="Q25" t="s">
        <v>85</v>
      </c>
      <c r="R25" t="s">
        <v>103</v>
      </c>
      <c r="S25">
        <v>12</v>
      </c>
      <c r="T25" t="s">
        <v>136</v>
      </c>
    </row>
    <row r="26" spans="1:20">
      <c r="A26">
        <v>1</v>
      </c>
      <c r="B26" s="46">
        <v>45658</v>
      </c>
      <c r="C26">
        <v>0</v>
      </c>
      <c r="D26">
        <v>0</v>
      </c>
      <c r="E26">
        <v>50</v>
      </c>
      <c r="F26">
        <v>0</v>
      </c>
      <c r="G26">
        <v>12</v>
      </c>
      <c r="H26">
        <v>10000</v>
      </c>
      <c r="I26">
        <v>0</v>
      </c>
      <c r="J26">
        <v>0</v>
      </c>
      <c r="K26">
        <v>-10000</v>
      </c>
      <c r="L26">
        <v>-3333.3333333333335</v>
      </c>
      <c r="M26">
        <v>-2048.6111111111113</v>
      </c>
      <c r="N26">
        <v>-15381.944444444445</v>
      </c>
      <c r="O26">
        <v>-28125</v>
      </c>
      <c r="P26">
        <v>-43506.944444444445</v>
      </c>
      <c r="Q26" t="s">
        <v>83</v>
      </c>
      <c r="R26" t="s">
        <v>99</v>
      </c>
      <c r="S26">
        <v>1</v>
      </c>
      <c r="T26" t="s">
        <v>125</v>
      </c>
    </row>
    <row r="27" spans="1:20">
      <c r="A27">
        <v>2</v>
      </c>
      <c r="B27" s="46">
        <v>45689</v>
      </c>
      <c r="C27">
        <v>0</v>
      </c>
      <c r="D27">
        <v>0</v>
      </c>
      <c r="E27">
        <v>50</v>
      </c>
      <c r="F27">
        <v>0</v>
      </c>
      <c r="G27">
        <v>12.03445078462892</v>
      </c>
      <c r="H27">
        <v>10028.708987190766</v>
      </c>
      <c r="I27">
        <v>0</v>
      </c>
      <c r="J27">
        <v>0</v>
      </c>
      <c r="K27">
        <v>-10028.708987190766</v>
      </c>
      <c r="L27">
        <v>-3333.3333333333335</v>
      </c>
      <c r="M27">
        <v>-2048.6111111111113</v>
      </c>
      <c r="N27">
        <v>-15410.653431635212</v>
      </c>
      <c r="O27">
        <v>-28125</v>
      </c>
      <c r="P27">
        <v>-43535.653431635212</v>
      </c>
      <c r="Q27" t="s">
        <v>83</v>
      </c>
      <c r="R27" t="s">
        <v>99</v>
      </c>
      <c r="S27">
        <v>2</v>
      </c>
      <c r="T27" t="s">
        <v>126</v>
      </c>
    </row>
    <row r="28" spans="1:20">
      <c r="A28">
        <v>3</v>
      </c>
      <c r="B28" s="46">
        <v>45717</v>
      </c>
      <c r="C28">
        <v>1</v>
      </c>
      <c r="D28">
        <v>1</v>
      </c>
      <c r="E28">
        <v>50</v>
      </c>
      <c r="F28">
        <v>0</v>
      </c>
      <c r="G28">
        <v>12.0690004739713</v>
      </c>
      <c r="H28">
        <v>10057.500394976085</v>
      </c>
      <c r="I28">
        <v>7040.2502764832589</v>
      </c>
      <c r="J28">
        <v>-140.80500552966518</v>
      </c>
      <c r="K28">
        <v>-3158.0551240224913</v>
      </c>
      <c r="L28">
        <v>-3333.3333333333335</v>
      </c>
      <c r="M28">
        <v>-2048.6111111111113</v>
      </c>
      <c r="N28">
        <v>-8539.9995684669357</v>
      </c>
      <c r="O28">
        <v>-28125</v>
      </c>
      <c r="P28">
        <v>-36664.999568466934</v>
      </c>
      <c r="Q28" t="s">
        <v>83</v>
      </c>
      <c r="R28" t="s">
        <v>99</v>
      </c>
      <c r="S28">
        <v>3</v>
      </c>
      <c r="T28" t="s">
        <v>127</v>
      </c>
    </row>
    <row r="29" spans="1:20">
      <c r="A29">
        <v>4</v>
      </c>
      <c r="B29" s="46">
        <v>45748</v>
      </c>
      <c r="C29">
        <v>1</v>
      </c>
      <c r="D29">
        <v>0</v>
      </c>
      <c r="E29">
        <v>50</v>
      </c>
      <c r="F29">
        <v>41666.666666666672</v>
      </c>
      <c r="G29">
        <v>12.10364935197256</v>
      </c>
      <c r="H29">
        <v>10086.374459977134</v>
      </c>
      <c r="I29">
        <v>7060.4621219839937</v>
      </c>
      <c r="J29">
        <v>-974.54257577301325</v>
      </c>
      <c r="K29">
        <v>37666.211752900519</v>
      </c>
      <c r="L29">
        <v>-3333.3333333333335</v>
      </c>
      <c r="M29">
        <v>-2048.6111111111113</v>
      </c>
      <c r="N29">
        <v>32284.267308456074</v>
      </c>
      <c r="O29">
        <v>-28125</v>
      </c>
      <c r="P29">
        <v>4159.2673084560738</v>
      </c>
      <c r="Q29" t="s">
        <v>83</v>
      </c>
      <c r="R29" t="s">
        <v>101</v>
      </c>
      <c r="S29">
        <v>4</v>
      </c>
      <c r="T29" t="s">
        <v>128</v>
      </c>
    </row>
    <row r="30" spans="1:20">
      <c r="A30">
        <v>5</v>
      </c>
      <c r="B30" s="46">
        <v>45778</v>
      </c>
      <c r="C30">
        <v>1</v>
      </c>
      <c r="D30">
        <v>0</v>
      </c>
      <c r="E30">
        <v>50</v>
      </c>
      <c r="F30">
        <v>41666.666666666672</v>
      </c>
      <c r="G30">
        <v>12.138397703393291</v>
      </c>
      <c r="H30">
        <v>10115.331419494409</v>
      </c>
      <c r="I30">
        <v>7080.7319936460854</v>
      </c>
      <c r="J30">
        <v>-974.94797320625514</v>
      </c>
      <c r="K30">
        <v>37657.119267612092</v>
      </c>
      <c r="L30">
        <v>-3333.3333333333335</v>
      </c>
      <c r="M30">
        <v>-2048.6111111111113</v>
      </c>
      <c r="N30">
        <v>32275.174823167647</v>
      </c>
      <c r="O30">
        <v>-28125</v>
      </c>
      <c r="P30">
        <v>4150.1748231676465</v>
      </c>
      <c r="Q30" t="s">
        <v>83</v>
      </c>
      <c r="R30" t="s">
        <v>101</v>
      </c>
      <c r="S30">
        <v>5</v>
      </c>
      <c r="T30" t="s">
        <v>129</v>
      </c>
    </row>
    <row r="31" spans="1:20">
      <c r="A31">
        <v>6</v>
      </c>
      <c r="B31" s="46">
        <v>45809</v>
      </c>
      <c r="C31">
        <v>1</v>
      </c>
      <c r="D31">
        <v>0</v>
      </c>
      <c r="E31">
        <v>50</v>
      </c>
      <c r="F31">
        <v>41666.666666666672</v>
      </c>
      <c r="G31">
        <v>12.173245813811604</v>
      </c>
      <c r="H31">
        <v>10144.371511509671</v>
      </c>
      <c r="I31">
        <v>7101.0600580567698</v>
      </c>
      <c r="J31">
        <v>-975.35453449446879</v>
      </c>
      <c r="K31">
        <v>37648.000678719298</v>
      </c>
      <c r="L31">
        <v>-3333.3333333333335</v>
      </c>
      <c r="M31">
        <v>-2048.6111111111113</v>
      </c>
      <c r="N31">
        <v>32266.056234274853</v>
      </c>
      <c r="O31">
        <v>-28125</v>
      </c>
      <c r="P31">
        <v>4141.0562342748526</v>
      </c>
      <c r="Q31" t="s">
        <v>83</v>
      </c>
      <c r="R31" t="s">
        <v>101</v>
      </c>
      <c r="S31">
        <v>6</v>
      </c>
      <c r="T31" t="s">
        <v>130</v>
      </c>
    </row>
    <row r="32" spans="1:20">
      <c r="A32">
        <v>7</v>
      </c>
      <c r="B32" s="46">
        <v>45839</v>
      </c>
      <c r="C32">
        <v>1</v>
      </c>
      <c r="D32">
        <v>0</v>
      </c>
      <c r="E32">
        <v>50</v>
      </c>
      <c r="F32">
        <v>41666.666666666672</v>
      </c>
      <c r="G32">
        <v>12.208193969625484</v>
      </c>
      <c r="H32">
        <v>10173.494974687903</v>
      </c>
      <c r="I32">
        <v>7121.4464822815316</v>
      </c>
      <c r="J32">
        <v>-975.76226297896415</v>
      </c>
      <c r="K32">
        <v>37638.855911281338</v>
      </c>
      <c r="L32">
        <v>-3333.3333333333335</v>
      </c>
      <c r="M32">
        <v>-2048.6111111111113</v>
      </c>
      <c r="N32">
        <v>32256.911466836893</v>
      </c>
      <c r="O32">
        <v>-28125</v>
      </c>
      <c r="P32">
        <v>4131.9114668368929</v>
      </c>
      <c r="Q32" t="s">
        <v>83</v>
      </c>
      <c r="R32" t="s">
        <v>102</v>
      </c>
      <c r="S32">
        <v>7</v>
      </c>
      <c r="T32" t="s">
        <v>131</v>
      </c>
    </row>
    <row r="33" spans="1:20">
      <c r="A33">
        <v>8</v>
      </c>
      <c r="B33" s="46">
        <v>45870</v>
      </c>
      <c r="C33">
        <v>1</v>
      </c>
      <c r="D33">
        <v>0</v>
      </c>
      <c r="E33">
        <v>50</v>
      </c>
      <c r="F33">
        <v>41666.666666666672</v>
      </c>
      <c r="G33">
        <v>12.24324245805512</v>
      </c>
      <c r="H33">
        <v>10202.702048379266</v>
      </c>
      <c r="I33">
        <v>7141.8914338654859</v>
      </c>
      <c r="J33">
        <v>-976.17116201064323</v>
      </c>
      <c r="K33">
        <v>37629.684890142249</v>
      </c>
      <c r="L33">
        <v>-3333.3333333333335</v>
      </c>
      <c r="M33">
        <v>-2048.6111111111113</v>
      </c>
      <c r="N33">
        <v>32247.740445697804</v>
      </c>
      <c r="O33">
        <v>-28125</v>
      </c>
      <c r="P33">
        <v>4122.7404456978038</v>
      </c>
      <c r="Q33" t="s">
        <v>83</v>
      </c>
      <c r="R33" t="s">
        <v>102</v>
      </c>
      <c r="S33">
        <v>8</v>
      </c>
      <c r="T33" t="s">
        <v>132</v>
      </c>
    </row>
    <row r="34" spans="1:20">
      <c r="A34">
        <v>9</v>
      </c>
      <c r="B34" s="46">
        <v>45901</v>
      </c>
      <c r="C34">
        <v>1</v>
      </c>
      <c r="D34">
        <v>0</v>
      </c>
      <c r="E34">
        <v>50</v>
      </c>
      <c r="F34">
        <v>41666.666666666672</v>
      </c>
      <c r="G34">
        <v>12.278391567145293</v>
      </c>
      <c r="H34">
        <v>10231.992972621078</v>
      </c>
      <c r="I34">
        <v>7162.3950808347536</v>
      </c>
      <c r="J34">
        <v>-976.58123495002849</v>
      </c>
      <c r="K34">
        <v>37620.48753993032</v>
      </c>
      <c r="L34">
        <v>-3333.3333333333335</v>
      </c>
      <c r="M34">
        <v>-2048.6111111111113</v>
      </c>
      <c r="N34">
        <v>32238.543095485875</v>
      </c>
      <c r="O34">
        <v>-28125</v>
      </c>
      <c r="P34">
        <v>4113.5430954858748</v>
      </c>
      <c r="Q34" t="s">
        <v>83</v>
      </c>
      <c r="R34" t="s">
        <v>102</v>
      </c>
      <c r="S34">
        <v>9</v>
      </c>
      <c r="T34" t="s">
        <v>133</v>
      </c>
    </row>
    <row r="35" spans="1:20">
      <c r="A35">
        <v>10</v>
      </c>
      <c r="B35" s="46">
        <v>45931</v>
      </c>
      <c r="C35">
        <v>1</v>
      </c>
      <c r="D35">
        <v>0</v>
      </c>
      <c r="E35">
        <v>50</v>
      </c>
      <c r="F35">
        <v>41666.666666666672</v>
      </c>
      <c r="G35">
        <v>12.313641585767733</v>
      </c>
      <c r="H35">
        <v>10261.367988139778</v>
      </c>
      <c r="I35">
        <v>7182.9575916978447</v>
      </c>
      <c r="J35">
        <v>-976.99248516729028</v>
      </c>
      <c r="K35">
        <v>37611.263785057447</v>
      </c>
      <c r="L35">
        <v>-3333.3333333333335</v>
      </c>
      <c r="M35">
        <v>-2048.6111111111113</v>
      </c>
      <c r="N35">
        <v>32229.319340613001</v>
      </c>
      <c r="O35">
        <v>-28125</v>
      </c>
      <c r="P35">
        <v>4104.3193406130013</v>
      </c>
      <c r="Q35" t="s">
        <v>83</v>
      </c>
      <c r="R35" t="s">
        <v>103</v>
      </c>
      <c r="S35">
        <v>10</v>
      </c>
      <c r="T35" t="s">
        <v>134</v>
      </c>
    </row>
    <row r="36" spans="1:20">
      <c r="A36">
        <v>11</v>
      </c>
      <c r="B36" s="46">
        <v>45962</v>
      </c>
      <c r="C36">
        <v>1</v>
      </c>
      <c r="D36">
        <v>0</v>
      </c>
      <c r="E36">
        <v>50</v>
      </c>
      <c r="F36">
        <v>41666.666666666672</v>
      </c>
      <c r="G36">
        <v>12.348992803623482</v>
      </c>
      <c r="H36">
        <v>10290.827336352901</v>
      </c>
      <c r="I36">
        <v>7203.5791354470302</v>
      </c>
      <c r="J36">
        <v>-977.40491604227395</v>
      </c>
      <c r="K36">
        <v>37602.013549718526</v>
      </c>
      <c r="L36">
        <v>-3333.3333333333335</v>
      </c>
      <c r="M36">
        <v>-2048.6111111111113</v>
      </c>
      <c r="N36">
        <v>32220.06910527408</v>
      </c>
      <c r="O36">
        <v>-28125</v>
      </c>
      <c r="P36">
        <v>4095.0691052740804</v>
      </c>
      <c r="Q36" t="s">
        <v>83</v>
      </c>
      <c r="R36" t="s">
        <v>103</v>
      </c>
      <c r="S36">
        <v>11</v>
      </c>
      <c r="T36" t="s">
        <v>135</v>
      </c>
    </row>
    <row r="37" spans="1:20">
      <c r="A37">
        <v>12</v>
      </c>
      <c r="B37" s="46">
        <v>45992</v>
      </c>
      <c r="C37">
        <v>1</v>
      </c>
      <c r="D37">
        <v>0</v>
      </c>
      <c r="E37">
        <v>50</v>
      </c>
      <c r="F37">
        <v>41666.666666666672</v>
      </c>
      <c r="G37">
        <v>12.384445511245289</v>
      </c>
      <c r="H37">
        <v>10320.371259371075</v>
      </c>
      <c r="I37">
        <v>7224.2598815597521</v>
      </c>
      <c r="J37">
        <v>-977.81853096452846</v>
      </c>
      <c r="K37">
        <v>37592.736757890823</v>
      </c>
      <c r="L37">
        <v>-3333.3333333333335</v>
      </c>
      <c r="M37">
        <v>-2048.6111111111113</v>
      </c>
      <c r="N37">
        <v>32210.792313446378</v>
      </c>
      <c r="O37">
        <v>-28125</v>
      </c>
      <c r="P37">
        <v>4085.7923134463781</v>
      </c>
      <c r="Q37" t="s">
        <v>83</v>
      </c>
      <c r="R37" t="s">
        <v>103</v>
      </c>
      <c r="S37">
        <v>12</v>
      </c>
      <c r="T37" t="s">
        <v>136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930CD-7317-4425-9399-4063FE3DCB10}">
  <dimension ref="A1:V26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7" sqref="C7"/>
    </sheetView>
  </sheetViews>
  <sheetFormatPr defaultRowHeight="14.25" outlineLevelRow="1"/>
  <cols>
    <col min="1" max="1" width="14" style="1" bestFit="1" customWidth="1"/>
    <col min="2" max="2" width="11.33203125" style="1" customWidth="1"/>
    <col min="3" max="22" width="9.59765625" style="1" customWidth="1"/>
    <col min="23" max="16384" width="9.06640625" style="1"/>
  </cols>
  <sheetData>
    <row r="1" spans="1:22" s="38" customFormat="1" ht="42.75">
      <c r="A1" s="54" t="s">
        <v>96</v>
      </c>
      <c r="B1" s="29" t="s">
        <v>0</v>
      </c>
      <c r="C1" s="29" t="s">
        <v>1</v>
      </c>
      <c r="D1" s="29" t="s">
        <v>2</v>
      </c>
      <c r="E1" s="29" t="s">
        <v>3</v>
      </c>
      <c r="F1" s="35" t="s">
        <v>4</v>
      </c>
      <c r="G1" s="29" t="s">
        <v>5</v>
      </c>
      <c r="H1" s="29" t="s">
        <v>6</v>
      </c>
      <c r="I1" s="35" t="s">
        <v>7</v>
      </c>
      <c r="J1" s="29" t="s">
        <v>8</v>
      </c>
      <c r="K1" s="36" t="s">
        <v>9</v>
      </c>
      <c r="L1" s="36" t="s">
        <v>10</v>
      </c>
      <c r="M1" s="36" t="s">
        <v>11</v>
      </c>
      <c r="N1" s="29" t="s">
        <v>12</v>
      </c>
      <c r="O1" s="29" t="s">
        <v>14</v>
      </c>
      <c r="P1" s="29" t="s">
        <v>15</v>
      </c>
      <c r="Q1" s="29" t="s">
        <v>16</v>
      </c>
      <c r="R1" s="29" t="s">
        <v>17</v>
      </c>
      <c r="S1" s="37" t="s">
        <v>18</v>
      </c>
      <c r="T1" s="29" t="s">
        <v>19</v>
      </c>
      <c r="U1" s="29" t="s">
        <v>20</v>
      </c>
      <c r="V1" s="29" t="s">
        <v>21</v>
      </c>
    </row>
    <row r="2" spans="1:22" s="45" customFormat="1" ht="56.65" hidden="1" outlineLevel="1">
      <c r="A2" s="44" t="s">
        <v>52</v>
      </c>
      <c r="B2" s="44" t="s">
        <v>53</v>
      </c>
      <c r="C2" s="44" t="s">
        <v>54</v>
      </c>
      <c r="D2" s="44" t="s">
        <v>55</v>
      </c>
      <c r="E2" s="44" t="s">
        <v>56</v>
      </c>
      <c r="F2" s="44" t="s">
        <v>57</v>
      </c>
      <c r="G2" s="44" t="s">
        <v>58</v>
      </c>
      <c r="H2" s="44" t="s">
        <v>59</v>
      </c>
      <c r="I2" s="44" t="s">
        <v>60</v>
      </c>
      <c r="J2" s="44" t="s">
        <v>61</v>
      </c>
      <c r="K2" s="44" t="s">
        <v>62</v>
      </c>
      <c r="L2" s="44" t="s">
        <v>63</v>
      </c>
      <c r="M2" s="44" t="s">
        <v>64</v>
      </c>
      <c r="N2" s="44" t="s">
        <v>13</v>
      </c>
      <c r="O2" s="44" t="s">
        <v>65</v>
      </c>
      <c r="P2" s="44" t="s">
        <v>66</v>
      </c>
      <c r="Q2" s="44" t="s">
        <v>67</v>
      </c>
      <c r="R2" s="44" t="s">
        <v>68</v>
      </c>
      <c r="S2" s="44" t="s">
        <v>69</v>
      </c>
      <c r="T2" s="44" t="s">
        <v>70</v>
      </c>
      <c r="U2" s="44" t="s">
        <v>71</v>
      </c>
      <c r="V2" s="44" t="s">
        <v>72</v>
      </c>
    </row>
    <row r="3" spans="1:22" collapsed="1">
      <c r="A3" s="53" t="s">
        <v>146</v>
      </c>
      <c r="B3" s="31">
        <f>INDEX($B$5:$V$7, MATCH($A$3, $A$5:$A$7, 0),MATCH(B$1,$B$1:$V$1,0))</f>
        <v>45658</v>
      </c>
      <c r="C3" s="22">
        <f t="shared" ref="C3:V3" si="0">INDEX($B$5:$V$7, MATCH($A$3, $A$5:$A$7, 0),MATCH(C$1,$B$1:$V$1,0))</f>
        <v>12</v>
      </c>
      <c r="D3" s="22">
        <f t="shared" si="0"/>
        <v>10000</v>
      </c>
      <c r="E3" s="22">
        <f t="shared" si="0"/>
        <v>50</v>
      </c>
      <c r="F3" s="32">
        <f t="shared" si="0"/>
        <v>0.05</v>
      </c>
      <c r="G3" s="22">
        <f t="shared" si="0"/>
        <v>1</v>
      </c>
      <c r="H3" s="22">
        <f t="shared" si="0"/>
        <v>60</v>
      </c>
      <c r="I3" s="30">
        <f t="shared" si="0"/>
        <v>1</v>
      </c>
      <c r="J3" s="22">
        <f t="shared" si="0"/>
        <v>12</v>
      </c>
      <c r="K3" s="33">
        <f t="shared" si="0"/>
        <v>1.4999999999999999E-2</v>
      </c>
      <c r="L3" s="33">
        <f t="shared" si="0"/>
        <v>0.9</v>
      </c>
      <c r="M3" s="33">
        <f t="shared" si="0"/>
        <v>5.0000000000000001E-3</v>
      </c>
      <c r="N3" s="22">
        <f t="shared" si="0"/>
        <v>20</v>
      </c>
      <c r="O3" s="22">
        <f t="shared" si="0"/>
        <v>0.05</v>
      </c>
      <c r="P3" s="22">
        <f t="shared" si="0"/>
        <v>5</v>
      </c>
      <c r="Q3" s="22">
        <f t="shared" si="0"/>
        <v>5</v>
      </c>
      <c r="R3" s="22">
        <f t="shared" si="0"/>
        <v>5000000</v>
      </c>
      <c r="S3" s="34">
        <f t="shared" si="0"/>
        <v>0.05</v>
      </c>
      <c r="T3" s="22">
        <f t="shared" si="0"/>
        <v>0.02</v>
      </c>
      <c r="U3" s="22">
        <f t="shared" si="0"/>
        <v>0.5</v>
      </c>
      <c r="V3" s="22">
        <f t="shared" si="0"/>
        <v>5.5E-2</v>
      </c>
    </row>
    <row r="4" spans="1:22" customFormat="1" ht="13.5"/>
    <row r="5" spans="1:22" customFormat="1" ht="14.65">
      <c r="A5" s="43" t="s">
        <v>80</v>
      </c>
      <c r="B5" s="31">
        <v>45658</v>
      </c>
      <c r="C5" s="22">
        <v>12</v>
      </c>
      <c r="D5" s="40">
        <v>10000</v>
      </c>
      <c r="E5" s="22">
        <v>50</v>
      </c>
      <c r="F5" s="32">
        <v>0.03</v>
      </c>
      <c r="G5" s="22">
        <v>1</v>
      </c>
      <c r="H5" s="22">
        <v>60</v>
      </c>
      <c r="I5" s="30">
        <v>1</v>
      </c>
      <c r="J5" s="22">
        <v>12</v>
      </c>
      <c r="K5" s="33">
        <v>2.5000000000000001E-2</v>
      </c>
      <c r="L5" s="33">
        <v>0.8</v>
      </c>
      <c r="M5" s="33">
        <v>0.01</v>
      </c>
      <c r="N5" s="22">
        <v>20</v>
      </c>
      <c r="O5" s="41">
        <v>0.05</v>
      </c>
      <c r="P5" s="22">
        <v>5</v>
      </c>
      <c r="Q5" s="22">
        <v>5</v>
      </c>
      <c r="R5" s="40">
        <v>5000000</v>
      </c>
      <c r="S5" s="34">
        <v>0.05</v>
      </c>
      <c r="T5" s="41">
        <v>0.02</v>
      </c>
      <c r="U5" s="41">
        <v>0.5</v>
      </c>
      <c r="V5" s="41">
        <v>5.5E-2</v>
      </c>
    </row>
    <row r="6" spans="1:22">
      <c r="A6" s="23" t="s">
        <v>81</v>
      </c>
      <c r="B6" s="31">
        <f>$B$5</f>
        <v>45658</v>
      </c>
      <c r="C6" s="22">
        <f>$C$5</f>
        <v>12</v>
      </c>
      <c r="D6" s="40">
        <f>$D$5</f>
        <v>10000</v>
      </c>
      <c r="E6" s="22">
        <f>$E$5</f>
        <v>50</v>
      </c>
      <c r="F6" s="32">
        <v>0.05</v>
      </c>
      <c r="G6" s="22">
        <f>$G$5</f>
        <v>1</v>
      </c>
      <c r="H6" s="22">
        <f>$H$5</f>
        <v>60</v>
      </c>
      <c r="I6" s="30">
        <v>1</v>
      </c>
      <c r="J6" s="22">
        <f>$J$5</f>
        <v>12</v>
      </c>
      <c r="K6" s="33">
        <v>1.4999999999999999E-2</v>
      </c>
      <c r="L6" s="33">
        <v>0.9</v>
      </c>
      <c r="M6" s="33">
        <v>5.0000000000000001E-3</v>
      </c>
      <c r="N6" s="22">
        <f>$N$5</f>
        <v>20</v>
      </c>
      <c r="O6" s="41">
        <f>$O$5</f>
        <v>0.05</v>
      </c>
      <c r="P6" s="22">
        <f>$P$5</f>
        <v>5</v>
      </c>
      <c r="Q6" s="22">
        <f>$Q$5</f>
        <v>5</v>
      </c>
      <c r="R6" s="40">
        <f>$R$5</f>
        <v>5000000</v>
      </c>
      <c r="S6" s="34">
        <v>0.05</v>
      </c>
      <c r="T6" s="41">
        <f>$T$5</f>
        <v>0.02</v>
      </c>
      <c r="U6" s="41">
        <f>$U$5</f>
        <v>0.5</v>
      </c>
      <c r="V6" s="41">
        <f>$V$5</f>
        <v>5.5E-2</v>
      </c>
    </row>
    <row r="7" spans="1:22">
      <c r="A7" s="42" t="s">
        <v>82</v>
      </c>
      <c r="B7" s="31">
        <f>$B$5</f>
        <v>45658</v>
      </c>
      <c r="C7" s="22">
        <f>$C$5</f>
        <v>12</v>
      </c>
      <c r="D7" s="40">
        <f>$D$5</f>
        <v>10000</v>
      </c>
      <c r="E7" s="22">
        <f>$E$5</f>
        <v>50</v>
      </c>
      <c r="F7" s="32">
        <v>0</v>
      </c>
      <c r="G7" s="22">
        <f>$G$5</f>
        <v>1</v>
      </c>
      <c r="H7" s="22">
        <f>$H$5</f>
        <v>60</v>
      </c>
      <c r="I7" s="30">
        <v>2</v>
      </c>
      <c r="J7" s="22">
        <f>$J$5</f>
        <v>12</v>
      </c>
      <c r="K7" s="33">
        <v>3.5000000000000003E-2</v>
      </c>
      <c r="L7" s="33">
        <v>0.7</v>
      </c>
      <c r="M7" s="33">
        <v>0.02</v>
      </c>
      <c r="N7" s="22">
        <f>$N$5</f>
        <v>20</v>
      </c>
      <c r="O7" s="41">
        <f>$O$5</f>
        <v>0.05</v>
      </c>
      <c r="P7" s="22">
        <f>$P$5</f>
        <v>5</v>
      </c>
      <c r="Q7" s="22">
        <f>$Q$5</f>
        <v>5</v>
      </c>
      <c r="R7" s="40">
        <f>$R$5</f>
        <v>5000000</v>
      </c>
      <c r="S7" s="34">
        <v>0.06</v>
      </c>
      <c r="T7" s="41">
        <f>$T$5</f>
        <v>0.02</v>
      </c>
      <c r="U7" s="41">
        <f>$U$5</f>
        <v>0.5</v>
      </c>
      <c r="V7" s="41">
        <f>$V$5</f>
        <v>5.5E-2</v>
      </c>
    </row>
    <row r="8" spans="1:22" customFormat="1" ht="13.5"/>
    <row r="9" spans="1:22" customFormat="1" ht="13.5"/>
    <row r="10" spans="1:22">
      <c r="A10" s="54" t="s">
        <v>89</v>
      </c>
    </row>
    <row r="11" spans="1:22">
      <c r="A11" s="39" t="s">
        <v>107</v>
      </c>
      <c r="B11" s="31">
        <f t="shared" ref="B11:B26" si="1">$B$5</f>
        <v>45658</v>
      </c>
      <c r="C11" s="22">
        <f t="shared" ref="C11:C26" si="2">$C$5</f>
        <v>12</v>
      </c>
      <c r="D11" s="40">
        <f t="shared" ref="D11:D26" si="3">$D$5</f>
        <v>10000</v>
      </c>
      <c r="E11" s="22">
        <f t="shared" ref="E11:E26" si="4">$E$5</f>
        <v>50</v>
      </c>
      <c r="F11" s="32">
        <v>0</v>
      </c>
      <c r="G11" s="22">
        <f t="shared" ref="G11:G26" si="5">$G$5</f>
        <v>1</v>
      </c>
      <c r="H11" s="22">
        <f t="shared" ref="H11:H26" si="6">$H$5</f>
        <v>60</v>
      </c>
      <c r="I11" s="22">
        <f>$I$5</f>
        <v>1</v>
      </c>
      <c r="J11" s="22">
        <f t="shared" ref="J11:J26" si="7">$J$5</f>
        <v>12</v>
      </c>
      <c r="K11" s="41">
        <f>$K$5</f>
        <v>2.5000000000000001E-2</v>
      </c>
      <c r="L11" s="41">
        <f>$L$5</f>
        <v>0.8</v>
      </c>
      <c r="M11" s="41">
        <f>$M$5</f>
        <v>0.01</v>
      </c>
      <c r="N11" s="22">
        <f t="shared" ref="N11:N26" si="8">$N$5</f>
        <v>20</v>
      </c>
      <c r="O11" s="41">
        <f t="shared" ref="O11:O26" si="9">$O$5</f>
        <v>0.05</v>
      </c>
      <c r="P11" s="22">
        <f t="shared" ref="P11:P26" si="10">$P$5</f>
        <v>5</v>
      </c>
      <c r="Q11" s="22">
        <f t="shared" ref="Q11:Q26" si="11">$Q$5</f>
        <v>5</v>
      </c>
      <c r="R11" s="40">
        <f t="shared" ref="R11:R26" si="12">$R$5</f>
        <v>5000000</v>
      </c>
      <c r="S11" s="41">
        <f>$S$5</f>
        <v>0.05</v>
      </c>
      <c r="T11" s="41">
        <f t="shared" ref="T11:T26" si="13">$T$5</f>
        <v>0.02</v>
      </c>
      <c r="U11" s="41">
        <f t="shared" ref="U11:U26" si="14">$U$5</f>
        <v>0.5</v>
      </c>
      <c r="V11" s="41">
        <f t="shared" ref="V11:V26" si="15">$V$5</f>
        <v>5.5E-2</v>
      </c>
    </row>
    <row r="12" spans="1:22">
      <c r="A12" s="39" t="s">
        <v>108</v>
      </c>
      <c r="B12" s="31">
        <f t="shared" si="1"/>
        <v>45658</v>
      </c>
      <c r="C12" s="22">
        <f t="shared" si="2"/>
        <v>12</v>
      </c>
      <c r="D12" s="40">
        <f t="shared" si="3"/>
        <v>10000</v>
      </c>
      <c r="E12" s="22">
        <f t="shared" si="4"/>
        <v>50</v>
      </c>
      <c r="F12" s="32">
        <v>0.02</v>
      </c>
      <c r="G12" s="22">
        <f t="shared" si="5"/>
        <v>1</v>
      </c>
      <c r="H12" s="22">
        <f t="shared" si="6"/>
        <v>60</v>
      </c>
      <c r="I12" s="22">
        <f t="shared" ref="I12:I16" si="16">$I$5</f>
        <v>1</v>
      </c>
      <c r="J12" s="22">
        <f t="shared" si="7"/>
        <v>12</v>
      </c>
      <c r="K12" s="41">
        <f t="shared" ref="K12:K20" si="17">$K$5</f>
        <v>2.5000000000000001E-2</v>
      </c>
      <c r="L12" s="41">
        <f t="shared" ref="L12:L26" si="18">$L$5</f>
        <v>0.8</v>
      </c>
      <c r="M12" s="41">
        <f t="shared" ref="M12:M26" si="19">$M$5</f>
        <v>0.01</v>
      </c>
      <c r="N12" s="22">
        <f t="shared" si="8"/>
        <v>20</v>
      </c>
      <c r="O12" s="41">
        <f t="shared" si="9"/>
        <v>0.05</v>
      </c>
      <c r="P12" s="22">
        <f t="shared" si="10"/>
        <v>5</v>
      </c>
      <c r="Q12" s="22">
        <f t="shared" si="11"/>
        <v>5</v>
      </c>
      <c r="R12" s="40">
        <f t="shared" si="12"/>
        <v>5000000</v>
      </c>
      <c r="S12" s="41">
        <f t="shared" ref="S12:S23" si="20">$S$5</f>
        <v>0.05</v>
      </c>
      <c r="T12" s="41">
        <f t="shared" si="13"/>
        <v>0.02</v>
      </c>
      <c r="U12" s="41">
        <f t="shared" si="14"/>
        <v>0.5</v>
      </c>
      <c r="V12" s="41">
        <f t="shared" si="15"/>
        <v>5.5E-2</v>
      </c>
    </row>
    <row r="13" spans="1:22">
      <c r="A13" s="39" t="s">
        <v>109</v>
      </c>
      <c r="B13" s="31">
        <f t="shared" si="1"/>
        <v>45658</v>
      </c>
      <c r="C13" s="22">
        <f t="shared" si="2"/>
        <v>12</v>
      </c>
      <c r="D13" s="40">
        <f t="shared" si="3"/>
        <v>10000</v>
      </c>
      <c r="E13" s="22">
        <f t="shared" si="4"/>
        <v>50</v>
      </c>
      <c r="F13" s="32">
        <v>0.03</v>
      </c>
      <c r="G13" s="22">
        <f t="shared" si="5"/>
        <v>1</v>
      </c>
      <c r="H13" s="22">
        <f t="shared" si="6"/>
        <v>60</v>
      </c>
      <c r="I13" s="22">
        <f t="shared" si="16"/>
        <v>1</v>
      </c>
      <c r="J13" s="22">
        <f t="shared" si="7"/>
        <v>12</v>
      </c>
      <c r="K13" s="41">
        <f t="shared" si="17"/>
        <v>2.5000000000000001E-2</v>
      </c>
      <c r="L13" s="41">
        <f t="shared" si="18"/>
        <v>0.8</v>
      </c>
      <c r="M13" s="41">
        <f t="shared" si="19"/>
        <v>0.01</v>
      </c>
      <c r="N13" s="22">
        <f t="shared" si="8"/>
        <v>20</v>
      </c>
      <c r="O13" s="41">
        <f t="shared" si="9"/>
        <v>0.05</v>
      </c>
      <c r="P13" s="22">
        <f t="shared" si="10"/>
        <v>5</v>
      </c>
      <c r="Q13" s="22">
        <f t="shared" si="11"/>
        <v>5</v>
      </c>
      <c r="R13" s="40">
        <f t="shared" si="12"/>
        <v>5000000</v>
      </c>
      <c r="S13" s="41">
        <f t="shared" si="20"/>
        <v>0.05</v>
      </c>
      <c r="T13" s="41">
        <f t="shared" si="13"/>
        <v>0.02</v>
      </c>
      <c r="U13" s="41">
        <f t="shared" si="14"/>
        <v>0.5</v>
      </c>
      <c r="V13" s="41">
        <f t="shared" si="15"/>
        <v>5.5E-2</v>
      </c>
    </row>
    <row r="14" spans="1:22">
      <c r="A14" s="39" t="s">
        <v>110</v>
      </c>
      <c r="B14" s="31">
        <f t="shared" si="1"/>
        <v>45658</v>
      </c>
      <c r="C14" s="22">
        <f t="shared" si="2"/>
        <v>12</v>
      </c>
      <c r="D14" s="40">
        <f t="shared" si="3"/>
        <v>10000</v>
      </c>
      <c r="E14" s="22">
        <f t="shared" si="4"/>
        <v>50</v>
      </c>
      <c r="F14" s="32">
        <v>0.04</v>
      </c>
      <c r="G14" s="22">
        <f t="shared" si="5"/>
        <v>1</v>
      </c>
      <c r="H14" s="22">
        <f t="shared" si="6"/>
        <v>60</v>
      </c>
      <c r="I14" s="22">
        <f t="shared" si="16"/>
        <v>1</v>
      </c>
      <c r="J14" s="22">
        <f t="shared" si="7"/>
        <v>12</v>
      </c>
      <c r="K14" s="41">
        <f t="shared" si="17"/>
        <v>2.5000000000000001E-2</v>
      </c>
      <c r="L14" s="41">
        <f t="shared" si="18"/>
        <v>0.8</v>
      </c>
      <c r="M14" s="41">
        <f t="shared" si="19"/>
        <v>0.01</v>
      </c>
      <c r="N14" s="22">
        <f t="shared" si="8"/>
        <v>20</v>
      </c>
      <c r="O14" s="41">
        <f t="shared" si="9"/>
        <v>0.05</v>
      </c>
      <c r="P14" s="22">
        <f t="shared" si="10"/>
        <v>5</v>
      </c>
      <c r="Q14" s="22">
        <f t="shared" si="11"/>
        <v>5</v>
      </c>
      <c r="R14" s="40">
        <f t="shared" si="12"/>
        <v>5000000</v>
      </c>
      <c r="S14" s="41">
        <f t="shared" si="20"/>
        <v>0.05</v>
      </c>
      <c r="T14" s="41">
        <f t="shared" si="13"/>
        <v>0.02</v>
      </c>
      <c r="U14" s="41">
        <f t="shared" si="14"/>
        <v>0.5</v>
      </c>
      <c r="V14" s="41">
        <f t="shared" si="15"/>
        <v>5.5E-2</v>
      </c>
    </row>
    <row r="15" spans="1:22">
      <c r="A15" s="39" t="s">
        <v>111</v>
      </c>
      <c r="B15" s="31">
        <f t="shared" si="1"/>
        <v>45658</v>
      </c>
      <c r="C15" s="22">
        <f t="shared" si="2"/>
        <v>12</v>
      </c>
      <c r="D15" s="40">
        <f t="shared" si="3"/>
        <v>10000</v>
      </c>
      <c r="E15" s="22">
        <f t="shared" si="4"/>
        <v>50</v>
      </c>
      <c r="F15" s="32">
        <v>0.05</v>
      </c>
      <c r="G15" s="22">
        <f t="shared" si="5"/>
        <v>1</v>
      </c>
      <c r="H15" s="22">
        <f t="shared" si="6"/>
        <v>60</v>
      </c>
      <c r="I15" s="22">
        <f t="shared" si="16"/>
        <v>1</v>
      </c>
      <c r="J15" s="22">
        <f t="shared" si="7"/>
        <v>12</v>
      </c>
      <c r="K15" s="41">
        <f t="shared" si="17"/>
        <v>2.5000000000000001E-2</v>
      </c>
      <c r="L15" s="41">
        <f t="shared" si="18"/>
        <v>0.8</v>
      </c>
      <c r="M15" s="41">
        <f t="shared" si="19"/>
        <v>0.01</v>
      </c>
      <c r="N15" s="22">
        <f t="shared" si="8"/>
        <v>20</v>
      </c>
      <c r="O15" s="41">
        <f t="shared" si="9"/>
        <v>0.05</v>
      </c>
      <c r="P15" s="22">
        <f t="shared" si="10"/>
        <v>5</v>
      </c>
      <c r="Q15" s="22">
        <f t="shared" si="11"/>
        <v>5</v>
      </c>
      <c r="R15" s="40">
        <f t="shared" si="12"/>
        <v>5000000</v>
      </c>
      <c r="S15" s="41">
        <f t="shared" si="20"/>
        <v>0.05</v>
      </c>
      <c r="T15" s="41">
        <f t="shared" si="13"/>
        <v>0.02</v>
      </c>
      <c r="U15" s="41">
        <f t="shared" si="14"/>
        <v>0.5</v>
      </c>
      <c r="V15" s="41">
        <f t="shared" si="15"/>
        <v>5.5E-2</v>
      </c>
    </row>
    <row r="16" spans="1:22">
      <c r="A16" s="39" t="s">
        <v>112</v>
      </c>
      <c r="B16" s="31">
        <f t="shared" si="1"/>
        <v>45658</v>
      </c>
      <c r="C16" s="22">
        <f t="shared" si="2"/>
        <v>12</v>
      </c>
      <c r="D16" s="40">
        <f t="shared" si="3"/>
        <v>10000</v>
      </c>
      <c r="E16" s="22">
        <f t="shared" si="4"/>
        <v>50</v>
      </c>
      <c r="F16" s="32">
        <v>0.06</v>
      </c>
      <c r="G16" s="22">
        <f t="shared" si="5"/>
        <v>1</v>
      </c>
      <c r="H16" s="22">
        <f t="shared" si="6"/>
        <v>60</v>
      </c>
      <c r="I16" s="22">
        <f t="shared" si="16"/>
        <v>1</v>
      </c>
      <c r="J16" s="22">
        <f t="shared" si="7"/>
        <v>12</v>
      </c>
      <c r="K16" s="41">
        <f t="shared" si="17"/>
        <v>2.5000000000000001E-2</v>
      </c>
      <c r="L16" s="41">
        <f t="shared" si="18"/>
        <v>0.8</v>
      </c>
      <c r="M16" s="41">
        <f t="shared" si="19"/>
        <v>0.01</v>
      </c>
      <c r="N16" s="22">
        <f t="shared" si="8"/>
        <v>20</v>
      </c>
      <c r="O16" s="41">
        <f t="shared" si="9"/>
        <v>0.05</v>
      </c>
      <c r="P16" s="22">
        <f t="shared" si="10"/>
        <v>5</v>
      </c>
      <c r="Q16" s="22">
        <f t="shared" si="11"/>
        <v>5</v>
      </c>
      <c r="R16" s="40">
        <f t="shared" si="12"/>
        <v>5000000</v>
      </c>
      <c r="S16" s="41">
        <f t="shared" si="20"/>
        <v>0.05</v>
      </c>
      <c r="T16" s="41">
        <f t="shared" si="13"/>
        <v>0.02</v>
      </c>
      <c r="U16" s="41">
        <f t="shared" si="14"/>
        <v>0.5</v>
      </c>
      <c r="V16" s="41">
        <f t="shared" si="15"/>
        <v>5.5E-2</v>
      </c>
    </row>
    <row r="17" spans="1:22">
      <c r="A17" s="39" t="s">
        <v>113</v>
      </c>
      <c r="B17" s="31">
        <f t="shared" si="1"/>
        <v>45658</v>
      </c>
      <c r="C17" s="22">
        <f t="shared" si="2"/>
        <v>12</v>
      </c>
      <c r="D17" s="40">
        <f t="shared" si="3"/>
        <v>10000</v>
      </c>
      <c r="E17" s="22">
        <f t="shared" si="4"/>
        <v>50</v>
      </c>
      <c r="F17" s="41">
        <f>$F$5</f>
        <v>0.03</v>
      </c>
      <c r="G17" s="22">
        <f t="shared" si="5"/>
        <v>1</v>
      </c>
      <c r="H17" s="22">
        <f t="shared" si="6"/>
        <v>60</v>
      </c>
      <c r="I17" s="30">
        <v>0</v>
      </c>
      <c r="J17" s="22">
        <f t="shared" si="7"/>
        <v>12</v>
      </c>
      <c r="K17" s="41">
        <f t="shared" si="17"/>
        <v>2.5000000000000001E-2</v>
      </c>
      <c r="L17" s="41">
        <f t="shared" si="18"/>
        <v>0.8</v>
      </c>
      <c r="M17" s="41">
        <f t="shared" si="19"/>
        <v>0.01</v>
      </c>
      <c r="N17" s="22">
        <f t="shared" si="8"/>
        <v>20</v>
      </c>
      <c r="O17" s="41">
        <f t="shared" si="9"/>
        <v>0.05</v>
      </c>
      <c r="P17" s="22">
        <f t="shared" si="10"/>
        <v>5</v>
      </c>
      <c r="Q17" s="22">
        <f t="shared" si="11"/>
        <v>5</v>
      </c>
      <c r="R17" s="40">
        <f t="shared" si="12"/>
        <v>5000000</v>
      </c>
      <c r="S17" s="41">
        <f t="shared" si="20"/>
        <v>0.05</v>
      </c>
      <c r="T17" s="41">
        <f t="shared" si="13"/>
        <v>0.02</v>
      </c>
      <c r="U17" s="41">
        <f t="shared" si="14"/>
        <v>0.5</v>
      </c>
      <c r="V17" s="41">
        <f t="shared" si="15"/>
        <v>5.5E-2</v>
      </c>
    </row>
    <row r="18" spans="1:22">
      <c r="A18" s="39" t="s">
        <v>114</v>
      </c>
      <c r="B18" s="31">
        <f t="shared" si="1"/>
        <v>45658</v>
      </c>
      <c r="C18" s="22">
        <f t="shared" si="2"/>
        <v>12</v>
      </c>
      <c r="D18" s="40">
        <f t="shared" si="3"/>
        <v>10000</v>
      </c>
      <c r="E18" s="22">
        <f t="shared" si="4"/>
        <v>50</v>
      </c>
      <c r="F18" s="41">
        <f t="shared" ref="F18:F26" si="21">$F$5</f>
        <v>0.03</v>
      </c>
      <c r="G18" s="22">
        <f t="shared" si="5"/>
        <v>1</v>
      </c>
      <c r="H18" s="22">
        <f t="shared" si="6"/>
        <v>60</v>
      </c>
      <c r="I18" s="30">
        <v>1</v>
      </c>
      <c r="J18" s="22">
        <f t="shared" si="7"/>
        <v>12</v>
      </c>
      <c r="K18" s="41">
        <f t="shared" si="17"/>
        <v>2.5000000000000001E-2</v>
      </c>
      <c r="L18" s="41">
        <f t="shared" si="18"/>
        <v>0.8</v>
      </c>
      <c r="M18" s="41">
        <f t="shared" si="19"/>
        <v>0.01</v>
      </c>
      <c r="N18" s="22">
        <f t="shared" si="8"/>
        <v>20</v>
      </c>
      <c r="O18" s="41">
        <f t="shared" si="9"/>
        <v>0.05</v>
      </c>
      <c r="P18" s="22">
        <f t="shared" si="10"/>
        <v>5</v>
      </c>
      <c r="Q18" s="22">
        <f t="shared" si="11"/>
        <v>5</v>
      </c>
      <c r="R18" s="40">
        <f t="shared" si="12"/>
        <v>5000000</v>
      </c>
      <c r="S18" s="41">
        <f t="shared" si="20"/>
        <v>0.05</v>
      </c>
      <c r="T18" s="41">
        <f t="shared" si="13"/>
        <v>0.02</v>
      </c>
      <c r="U18" s="41">
        <f t="shared" si="14"/>
        <v>0.5</v>
      </c>
      <c r="V18" s="41">
        <f t="shared" si="15"/>
        <v>5.5E-2</v>
      </c>
    </row>
    <row r="19" spans="1:22">
      <c r="A19" s="39" t="s">
        <v>115</v>
      </c>
      <c r="B19" s="31">
        <f t="shared" si="1"/>
        <v>45658</v>
      </c>
      <c r="C19" s="22">
        <f t="shared" si="2"/>
        <v>12</v>
      </c>
      <c r="D19" s="40">
        <f t="shared" si="3"/>
        <v>10000</v>
      </c>
      <c r="E19" s="22">
        <f t="shared" si="4"/>
        <v>50</v>
      </c>
      <c r="F19" s="41">
        <f t="shared" si="21"/>
        <v>0.03</v>
      </c>
      <c r="G19" s="22">
        <f t="shared" si="5"/>
        <v>1</v>
      </c>
      <c r="H19" s="22">
        <f t="shared" si="6"/>
        <v>60</v>
      </c>
      <c r="I19" s="30">
        <v>2</v>
      </c>
      <c r="J19" s="22">
        <f t="shared" si="7"/>
        <v>12</v>
      </c>
      <c r="K19" s="41">
        <f t="shared" si="17"/>
        <v>2.5000000000000001E-2</v>
      </c>
      <c r="L19" s="41">
        <f t="shared" si="18"/>
        <v>0.8</v>
      </c>
      <c r="M19" s="41">
        <f t="shared" si="19"/>
        <v>0.01</v>
      </c>
      <c r="N19" s="22">
        <f t="shared" si="8"/>
        <v>20</v>
      </c>
      <c r="O19" s="41">
        <f t="shared" si="9"/>
        <v>0.05</v>
      </c>
      <c r="P19" s="22">
        <f t="shared" si="10"/>
        <v>5</v>
      </c>
      <c r="Q19" s="22">
        <f t="shared" si="11"/>
        <v>5</v>
      </c>
      <c r="R19" s="40">
        <f t="shared" si="12"/>
        <v>5000000</v>
      </c>
      <c r="S19" s="41">
        <f t="shared" si="20"/>
        <v>0.05</v>
      </c>
      <c r="T19" s="41">
        <f t="shared" si="13"/>
        <v>0.02</v>
      </c>
      <c r="U19" s="41">
        <f t="shared" si="14"/>
        <v>0.5</v>
      </c>
      <c r="V19" s="41">
        <f t="shared" si="15"/>
        <v>5.5E-2</v>
      </c>
    </row>
    <row r="20" spans="1:22">
      <c r="A20" s="39" t="s">
        <v>116</v>
      </c>
      <c r="B20" s="31">
        <f t="shared" si="1"/>
        <v>45658</v>
      </c>
      <c r="C20" s="22">
        <f t="shared" si="2"/>
        <v>12</v>
      </c>
      <c r="D20" s="40">
        <f t="shared" si="3"/>
        <v>10000</v>
      </c>
      <c r="E20" s="22">
        <f t="shared" si="4"/>
        <v>50</v>
      </c>
      <c r="F20" s="41">
        <f t="shared" si="21"/>
        <v>0.03</v>
      </c>
      <c r="G20" s="22">
        <f t="shared" si="5"/>
        <v>1</v>
      </c>
      <c r="H20" s="22">
        <f t="shared" si="6"/>
        <v>60</v>
      </c>
      <c r="I20" s="30">
        <v>3</v>
      </c>
      <c r="J20" s="22">
        <f t="shared" si="7"/>
        <v>12</v>
      </c>
      <c r="K20" s="41">
        <f t="shared" si="17"/>
        <v>2.5000000000000001E-2</v>
      </c>
      <c r="L20" s="41">
        <f t="shared" si="18"/>
        <v>0.8</v>
      </c>
      <c r="M20" s="41">
        <f t="shared" si="19"/>
        <v>0.01</v>
      </c>
      <c r="N20" s="22">
        <f t="shared" si="8"/>
        <v>20</v>
      </c>
      <c r="O20" s="41">
        <f t="shared" si="9"/>
        <v>0.05</v>
      </c>
      <c r="P20" s="22">
        <f t="shared" si="10"/>
        <v>5</v>
      </c>
      <c r="Q20" s="22">
        <f t="shared" si="11"/>
        <v>5</v>
      </c>
      <c r="R20" s="40">
        <f t="shared" si="12"/>
        <v>5000000</v>
      </c>
      <c r="S20" s="41">
        <f t="shared" si="20"/>
        <v>0.05</v>
      </c>
      <c r="T20" s="41">
        <f t="shared" si="13"/>
        <v>0.02</v>
      </c>
      <c r="U20" s="41">
        <f t="shared" si="14"/>
        <v>0.5</v>
      </c>
      <c r="V20" s="41">
        <f t="shared" si="15"/>
        <v>5.5E-2</v>
      </c>
    </row>
    <row r="21" spans="1:22">
      <c r="A21" s="39" t="s">
        <v>117</v>
      </c>
      <c r="B21" s="31">
        <f t="shared" si="1"/>
        <v>45658</v>
      </c>
      <c r="C21" s="22">
        <f t="shared" si="2"/>
        <v>12</v>
      </c>
      <c r="D21" s="40">
        <f t="shared" si="3"/>
        <v>10000</v>
      </c>
      <c r="E21" s="22">
        <f t="shared" si="4"/>
        <v>50</v>
      </c>
      <c r="F21" s="41">
        <f t="shared" si="21"/>
        <v>0.03</v>
      </c>
      <c r="G21" s="22">
        <f t="shared" si="5"/>
        <v>1</v>
      </c>
      <c r="H21" s="22">
        <f t="shared" si="6"/>
        <v>60</v>
      </c>
      <c r="I21" s="22">
        <f t="shared" ref="I21:I26" si="22">$I$5</f>
        <v>1</v>
      </c>
      <c r="J21" s="22">
        <f t="shared" si="7"/>
        <v>12</v>
      </c>
      <c r="K21" s="33">
        <v>1.4999999999999999E-2</v>
      </c>
      <c r="L21" s="41">
        <f t="shared" si="18"/>
        <v>0.8</v>
      </c>
      <c r="M21" s="41">
        <f t="shared" si="19"/>
        <v>0.01</v>
      </c>
      <c r="N21" s="22">
        <f t="shared" si="8"/>
        <v>20</v>
      </c>
      <c r="O21" s="41">
        <f t="shared" si="9"/>
        <v>0.05</v>
      </c>
      <c r="P21" s="22">
        <f t="shared" si="10"/>
        <v>5</v>
      </c>
      <c r="Q21" s="22">
        <f t="shared" si="11"/>
        <v>5</v>
      </c>
      <c r="R21" s="40">
        <f t="shared" si="12"/>
        <v>5000000</v>
      </c>
      <c r="S21" s="41">
        <f t="shared" si="20"/>
        <v>0.05</v>
      </c>
      <c r="T21" s="41">
        <f t="shared" si="13"/>
        <v>0.02</v>
      </c>
      <c r="U21" s="41">
        <f t="shared" si="14"/>
        <v>0.5</v>
      </c>
      <c r="V21" s="41">
        <f t="shared" si="15"/>
        <v>5.5E-2</v>
      </c>
    </row>
    <row r="22" spans="1:22">
      <c r="A22" s="39" t="s">
        <v>118</v>
      </c>
      <c r="B22" s="31">
        <f t="shared" si="1"/>
        <v>45658</v>
      </c>
      <c r="C22" s="22">
        <f t="shared" si="2"/>
        <v>12</v>
      </c>
      <c r="D22" s="40">
        <f t="shared" si="3"/>
        <v>10000</v>
      </c>
      <c r="E22" s="22">
        <f t="shared" si="4"/>
        <v>50</v>
      </c>
      <c r="F22" s="41">
        <f t="shared" si="21"/>
        <v>0.03</v>
      </c>
      <c r="G22" s="22">
        <f t="shared" si="5"/>
        <v>1</v>
      </c>
      <c r="H22" s="22">
        <f t="shared" si="6"/>
        <v>60</v>
      </c>
      <c r="I22" s="22">
        <f t="shared" si="22"/>
        <v>1</v>
      </c>
      <c r="J22" s="22">
        <f t="shared" si="7"/>
        <v>12</v>
      </c>
      <c r="K22" s="33">
        <v>3.5000000000000003E-2</v>
      </c>
      <c r="L22" s="41">
        <f t="shared" si="18"/>
        <v>0.8</v>
      </c>
      <c r="M22" s="41">
        <f t="shared" si="19"/>
        <v>0.01</v>
      </c>
      <c r="N22" s="22">
        <f t="shared" si="8"/>
        <v>20</v>
      </c>
      <c r="O22" s="41">
        <f t="shared" si="9"/>
        <v>0.05</v>
      </c>
      <c r="P22" s="22">
        <f t="shared" si="10"/>
        <v>5</v>
      </c>
      <c r="Q22" s="22">
        <f t="shared" si="11"/>
        <v>5</v>
      </c>
      <c r="R22" s="40">
        <f t="shared" si="12"/>
        <v>5000000</v>
      </c>
      <c r="S22" s="41">
        <f t="shared" si="20"/>
        <v>0.05</v>
      </c>
      <c r="T22" s="41">
        <f t="shared" si="13"/>
        <v>0.02</v>
      </c>
      <c r="U22" s="41">
        <f t="shared" si="14"/>
        <v>0.5</v>
      </c>
      <c r="V22" s="41">
        <f t="shared" si="15"/>
        <v>5.5E-2</v>
      </c>
    </row>
    <row r="23" spans="1:22">
      <c r="A23" s="39" t="s">
        <v>119</v>
      </c>
      <c r="B23" s="31">
        <f t="shared" si="1"/>
        <v>45658</v>
      </c>
      <c r="C23" s="22">
        <f t="shared" si="2"/>
        <v>12</v>
      </c>
      <c r="D23" s="40">
        <f t="shared" si="3"/>
        <v>10000</v>
      </c>
      <c r="E23" s="22">
        <f t="shared" si="4"/>
        <v>50</v>
      </c>
      <c r="F23" s="41">
        <f t="shared" si="21"/>
        <v>0.03</v>
      </c>
      <c r="G23" s="22">
        <f t="shared" si="5"/>
        <v>1</v>
      </c>
      <c r="H23" s="22">
        <f t="shared" si="6"/>
        <v>60</v>
      </c>
      <c r="I23" s="22">
        <f t="shared" si="22"/>
        <v>1</v>
      </c>
      <c r="J23" s="22">
        <f t="shared" si="7"/>
        <v>12</v>
      </c>
      <c r="K23" s="33">
        <v>3.5000000000000003E-2</v>
      </c>
      <c r="L23" s="41">
        <f t="shared" si="18"/>
        <v>0.8</v>
      </c>
      <c r="M23" s="41">
        <f t="shared" si="19"/>
        <v>0.01</v>
      </c>
      <c r="N23" s="22">
        <f t="shared" si="8"/>
        <v>20</v>
      </c>
      <c r="O23" s="41">
        <f t="shared" si="9"/>
        <v>0.05</v>
      </c>
      <c r="P23" s="22">
        <f t="shared" si="10"/>
        <v>5</v>
      </c>
      <c r="Q23" s="22">
        <f t="shared" si="11"/>
        <v>5</v>
      </c>
      <c r="R23" s="40">
        <f t="shared" si="12"/>
        <v>5000000</v>
      </c>
      <c r="S23" s="41">
        <f t="shared" si="20"/>
        <v>0.05</v>
      </c>
      <c r="T23" s="41">
        <f t="shared" si="13"/>
        <v>0.02</v>
      </c>
      <c r="U23" s="41">
        <f t="shared" si="14"/>
        <v>0.5</v>
      </c>
      <c r="V23" s="41">
        <f t="shared" si="15"/>
        <v>5.5E-2</v>
      </c>
    </row>
    <row r="24" spans="1:22">
      <c r="A24" s="39" t="s">
        <v>120</v>
      </c>
      <c r="B24" s="31">
        <f t="shared" si="1"/>
        <v>45658</v>
      </c>
      <c r="C24" s="22">
        <f t="shared" si="2"/>
        <v>12</v>
      </c>
      <c r="D24" s="40">
        <f t="shared" si="3"/>
        <v>10000</v>
      </c>
      <c r="E24" s="22">
        <f t="shared" si="4"/>
        <v>50</v>
      </c>
      <c r="F24" s="41">
        <f t="shared" si="21"/>
        <v>0.03</v>
      </c>
      <c r="G24" s="22">
        <f t="shared" si="5"/>
        <v>1</v>
      </c>
      <c r="H24" s="22">
        <f t="shared" si="6"/>
        <v>60</v>
      </c>
      <c r="I24" s="22">
        <f t="shared" si="22"/>
        <v>1</v>
      </c>
      <c r="J24" s="22">
        <f t="shared" si="7"/>
        <v>12</v>
      </c>
      <c r="K24" s="41">
        <f t="shared" ref="K24:K26" si="23">$K$5</f>
        <v>2.5000000000000001E-2</v>
      </c>
      <c r="L24" s="41">
        <f t="shared" si="18"/>
        <v>0.8</v>
      </c>
      <c r="M24" s="41">
        <f t="shared" si="19"/>
        <v>0.01</v>
      </c>
      <c r="N24" s="22">
        <f t="shared" si="8"/>
        <v>20</v>
      </c>
      <c r="O24" s="41">
        <f t="shared" si="9"/>
        <v>0.05</v>
      </c>
      <c r="P24" s="22">
        <f t="shared" si="10"/>
        <v>5</v>
      </c>
      <c r="Q24" s="22">
        <f t="shared" si="11"/>
        <v>5</v>
      </c>
      <c r="R24" s="40">
        <f t="shared" si="12"/>
        <v>5000000</v>
      </c>
      <c r="S24" s="34">
        <v>0.04</v>
      </c>
      <c r="T24" s="41">
        <f t="shared" si="13"/>
        <v>0.02</v>
      </c>
      <c r="U24" s="41">
        <f t="shared" si="14"/>
        <v>0.5</v>
      </c>
      <c r="V24" s="41">
        <f t="shared" si="15"/>
        <v>5.5E-2</v>
      </c>
    </row>
    <row r="25" spans="1:22">
      <c r="A25" s="39" t="s">
        <v>121</v>
      </c>
      <c r="B25" s="31">
        <f t="shared" si="1"/>
        <v>45658</v>
      </c>
      <c r="C25" s="22">
        <f t="shared" si="2"/>
        <v>12</v>
      </c>
      <c r="D25" s="40">
        <f t="shared" si="3"/>
        <v>10000</v>
      </c>
      <c r="E25" s="22">
        <f t="shared" si="4"/>
        <v>50</v>
      </c>
      <c r="F25" s="41">
        <f t="shared" si="21"/>
        <v>0.03</v>
      </c>
      <c r="G25" s="22">
        <f t="shared" si="5"/>
        <v>1</v>
      </c>
      <c r="H25" s="22">
        <f t="shared" si="6"/>
        <v>60</v>
      </c>
      <c r="I25" s="22">
        <f t="shared" si="22"/>
        <v>1</v>
      </c>
      <c r="J25" s="22">
        <f t="shared" si="7"/>
        <v>12</v>
      </c>
      <c r="K25" s="41">
        <f t="shared" si="23"/>
        <v>2.5000000000000001E-2</v>
      </c>
      <c r="L25" s="41">
        <f t="shared" si="18"/>
        <v>0.8</v>
      </c>
      <c r="M25" s="41">
        <f t="shared" si="19"/>
        <v>0.01</v>
      </c>
      <c r="N25" s="22">
        <f t="shared" si="8"/>
        <v>20</v>
      </c>
      <c r="O25" s="41">
        <f t="shared" si="9"/>
        <v>0.05</v>
      </c>
      <c r="P25" s="22">
        <f t="shared" si="10"/>
        <v>5</v>
      </c>
      <c r="Q25" s="22">
        <f t="shared" si="11"/>
        <v>5</v>
      </c>
      <c r="R25" s="40">
        <f t="shared" si="12"/>
        <v>5000000</v>
      </c>
      <c r="S25" s="34">
        <v>0.05</v>
      </c>
      <c r="T25" s="41">
        <f t="shared" si="13"/>
        <v>0.02</v>
      </c>
      <c r="U25" s="41">
        <f t="shared" si="14"/>
        <v>0.5</v>
      </c>
      <c r="V25" s="41">
        <f t="shared" si="15"/>
        <v>5.5E-2</v>
      </c>
    </row>
    <row r="26" spans="1:22">
      <c r="A26" s="39" t="s">
        <v>122</v>
      </c>
      <c r="B26" s="31">
        <f t="shared" si="1"/>
        <v>45658</v>
      </c>
      <c r="C26" s="22">
        <f t="shared" si="2"/>
        <v>12</v>
      </c>
      <c r="D26" s="40">
        <f t="shared" si="3"/>
        <v>10000</v>
      </c>
      <c r="E26" s="22">
        <f t="shared" si="4"/>
        <v>50</v>
      </c>
      <c r="F26" s="41">
        <f t="shared" si="21"/>
        <v>0.03</v>
      </c>
      <c r="G26" s="22">
        <f t="shared" si="5"/>
        <v>1</v>
      </c>
      <c r="H26" s="22">
        <f t="shared" si="6"/>
        <v>60</v>
      </c>
      <c r="I26" s="22">
        <f t="shared" si="22"/>
        <v>1</v>
      </c>
      <c r="J26" s="22">
        <f t="shared" si="7"/>
        <v>12</v>
      </c>
      <c r="K26" s="41">
        <f t="shared" si="23"/>
        <v>2.5000000000000001E-2</v>
      </c>
      <c r="L26" s="41">
        <f t="shared" si="18"/>
        <v>0.8</v>
      </c>
      <c r="M26" s="41">
        <f t="shared" si="19"/>
        <v>0.01</v>
      </c>
      <c r="N26" s="22">
        <f t="shared" si="8"/>
        <v>20</v>
      </c>
      <c r="O26" s="41">
        <f t="shared" si="9"/>
        <v>0.05</v>
      </c>
      <c r="P26" s="22">
        <f t="shared" si="10"/>
        <v>5</v>
      </c>
      <c r="Q26" s="22">
        <f t="shared" si="11"/>
        <v>5</v>
      </c>
      <c r="R26" s="40">
        <f t="shared" si="12"/>
        <v>5000000</v>
      </c>
      <c r="S26" s="34">
        <v>0.06</v>
      </c>
      <c r="T26" s="41">
        <f t="shared" si="13"/>
        <v>0.02</v>
      </c>
      <c r="U26" s="41">
        <f t="shared" si="14"/>
        <v>0.5</v>
      </c>
      <c r="V26" s="41">
        <f t="shared" si="15"/>
        <v>5.5E-2</v>
      </c>
    </row>
  </sheetData>
  <phoneticPr fontId="1" type="noConversion"/>
  <dataValidations count="1">
    <dataValidation type="list" allowBlank="1" showInputMessage="1" showErrorMessage="1" sqref="A3" xr:uid="{CB2B569C-2883-4BC5-88C6-6A7280D8F659}">
      <formula1>"Base,Upside,Downside"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63"/>
  <sheetViews>
    <sheetView tabSelected="1" zoomScale="85" zoomScaleNormal="85" workbookViewId="0">
      <selection activeCell="M6" sqref="M6"/>
    </sheetView>
  </sheetViews>
  <sheetFormatPr defaultRowHeight="14.25" outlineLevelCol="1"/>
  <cols>
    <col min="1" max="1" width="12.06640625" style="1" bestFit="1" customWidth="1"/>
    <col min="2" max="2" width="9.6640625" style="1" bestFit="1" customWidth="1"/>
    <col min="3" max="3" width="9.9296875" style="1" bestFit="1" customWidth="1"/>
    <col min="4" max="5" width="8.86328125" style="1" bestFit="1" customWidth="1"/>
    <col min="6" max="6" width="9.6640625" style="1" bestFit="1" customWidth="1"/>
    <col min="7" max="7" width="9.9296875" style="1" bestFit="1" customWidth="1"/>
    <col min="8" max="8" width="9.1328125" style="1" bestFit="1" customWidth="1"/>
    <col min="9" max="9" width="10.46484375" style="1" customWidth="1"/>
    <col min="10" max="11" width="9.53125" style="1" bestFit="1" customWidth="1"/>
    <col min="12" max="12" width="9.9296875" style="1" bestFit="1" customWidth="1"/>
    <col min="13" max="13" width="9.1328125" style="1" bestFit="1" customWidth="1"/>
    <col min="14" max="14" width="9.265625" style="1" bestFit="1" customWidth="1"/>
    <col min="15" max="15" width="10.46484375" style="1" customWidth="1"/>
    <col min="16" max="16" width="9.6640625" style="1" bestFit="1" customWidth="1"/>
    <col min="17" max="17" width="10.19921875" style="1" customWidth="1"/>
    <col min="18" max="18" width="1.06640625" style="1" customWidth="1"/>
    <col min="19" max="19" width="13.6640625" style="1" bestFit="1" customWidth="1"/>
    <col min="20" max="22" width="10.19921875" style="1" bestFit="1" customWidth="1"/>
    <col min="23" max="23" width="10.19921875" style="1" hidden="1" customWidth="1" outlineLevel="1"/>
    <col min="24" max="31" width="14.265625" style="1" hidden="1" customWidth="1" outlineLevel="1"/>
    <col min="32" max="32" width="14.265625" style="1" customWidth="1" collapsed="1"/>
    <col min="33" max="34" width="14.265625" style="1" customWidth="1"/>
    <col min="35" max="35" width="10.19921875" style="1" customWidth="1"/>
    <col min="36" max="36" width="9.3984375" style="1" bestFit="1" customWidth="1"/>
    <col min="37" max="37" width="8.53125" style="1" customWidth="1"/>
    <col min="38" max="38" width="8.73046875" style="1" customWidth="1"/>
    <col min="39" max="39" width="8.46484375" style="1" bestFit="1" customWidth="1"/>
    <col min="40" max="40" width="19.9296875" style="1" bestFit="1" customWidth="1"/>
    <col min="41" max="41" width="9.3984375" style="1" bestFit="1" customWidth="1"/>
    <col min="42" max="42" width="12.9296875" style="1" bestFit="1" customWidth="1"/>
    <col min="43" max="43" width="13.3984375" style="1" bestFit="1" customWidth="1"/>
    <col min="44" max="44" width="8.46484375" style="1" bestFit="1" customWidth="1"/>
    <col min="45" max="45" width="19.9296875" style="1" bestFit="1" customWidth="1"/>
    <col min="46" max="46" width="9.3984375" style="1" bestFit="1" customWidth="1"/>
    <col min="47" max="47" width="12.9296875" style="1" bestFit="1" customWidth="1"/>
    <col min="48" max="48" width="13.3984375" style="1" bestFit="1" customWidth="1"/>
    <col min="49" max="49" width="8.46484375" style="1" bestFit="1" customWidth="1"/>
    <col min="50" max="50" width="19.9296875" style="1" bestFit="1" customWidth="1"/>
    <col min="51" max="51" width="9.3984375" style="1" bestFit="1" customWidth="1"/>
    <col min="52" max="52" width="12.9296875" style="1" bestFit="1" customWidth="1"/>
    <col min="53" max="53" width="13.3984375" style="1" bestFit="1" customWidth="1"/>
    <col min="54" max="54" width="8.46484375" style="1" bestFit="1" customWidth="1"/>
    <col min="55" max="55" width="19.9296875" style="1" bestFit="1" customWidth="1"/>
    <col min="56" max="56" width="9.3984375" style="1" bestFit="1" customWidth="1"/>
    <col min="57" max="57" width="12.9296875" style="1" bestFit="1" customWidth="1"/>
    <col min="58" max="58" width="13.3984375" style="1" bestFit="1" customWidth="1"/>
    <col min="59" max="59" width="8.46484375" style="1" bestFit="1" customWidth="1"/>
    <col min="60" max="60" width="19.9296875" style="1" bestFit="1" customWidth="1"/>
    <col min="61" max="61" width="9.3984375" style="1" bestFit="1" customWidth="1"/>
    <col min="62" max="62" width="12.9296875" style="1" bestFit="1" customWidth="1"/>
    <col min="63" max="63" width="13.3984375" style="1" bestFit="1" customWidth="1"/>
    <col min="64" max="64" width="8.46484375" style="1" bestFit="1" customWidth="1"/>
    <col min="65" max="65" width="19.9296875" style="1" bestFit="1" customWidth="1"/>
    <col min="66" max="66" width="9.3984375" style="1" bestFit="1" customWidth="1"/>
    <col min="67" max="16384" width="9.06640625" style="1"/>
  </cols>
  <sheetData>
    <row r="1" spans="1:17" s="6" customFormat="1" ht="28.5">
      <c r="A1" s="49" t="s">
        <v>96</v>
      </c>
      <c r="B1" s="49" t="s">
        <v>22</v>
      </c>
      <c r="C1" s="49" t="s">
        <v>23</v>
      </c>
      <c r="D1" s="8" t="s">
        <v>24</v>
      </c>
      <c r="E1" s="8" t="s">
        <v>25</v>
      </c>
      <c r="F1" s="49" t="s">
        <v>26</v>
      </c>
      <c r="G1" s="49" t="s">
        <v>27</v>
      </c>
      <c r="H1" s="9" t="s">
        <v>28</v>
      </c>
      <c r="I1" s="49" t="s">
        <v>29</v>
      </c>
      <c r="J1" s="9" t="s">
        <v>30</v>
      </c>
      <c r="K1" s="9" t="s">
        <v>31</v>
      </c>
      <c r="L1" s="14" t="s">
        <v>32</v>
      </c>
      <c r="M1" s="49" t="s">
        <v>33</v>
      </c>
      <c r="N1" s="49" t="s">
        <v>34</v>
      </c>
      <c r="O1" s="14" t="s">
        <v>35</v>
      </c>
      <c r="P1" s="7" t="s">
        <v>36</v>
      </c>
      <c r="Q1" s="14" t="s">
        <v>37</v>
      </c>
    </row>
    <row r="2" spans="1:17">
      <c r="A2" s="21" t="str">
        <f>Inputs!$A$3</f>
        <v>Upside</v>
      </c>
      <c r="B2" s="48">
        <f>Timeline!A2</f>
        <v>1</v>
      </c>
      <c r="C2" s="2">
        <f>Timeline!B2</f>
        <v>45658</v>
      </c>
      <c r="D2" s="1">
        <f>IF(AND(B2&gt;=Inputs!$I$3+1,B2&lt;=Inputs!$I$3+Inputs!$H$3),1,0)</f>
        <v>0</v>
      </c>
      <c r="E2" s="1">
        <f>IF(AND(B2&gt;=Inputs!$I$3+1,B2&lt;=Inputs!$I$3+Inputs!$G$3),1,0)</f>
        <v>0</v>
      </c>
      <c r="F2" s="19">
        <v>50</v>
      </c>
      <c r="G2" s="19">
        <v>0</v>
      </c>
      <c r="H2" s="19">
        <v>12</v>
      </c>
      <c r="I2" s="19">
        <v>10000</v>
      </c>
      <c r="J2" s="19">
        <v>0</v>
      </c>
      <c r="K2" s="19">
        <v>0</v>
      </c>
      <c r="L2" s="19">
        <v>-10000</v>
      </c>
      <c r="M2" s="19">
        <v>-3333.3333333333335</v>
      </c>
      <c r="N2" s="19">
        <v>-2048.6111111111113</v>
      </c>
      <c r="O2" s="19">
        <v>-15381.944444444445</v>
      </c>
      <c r="P2" s="19">
        <v>-26041.666666666668</v>
      </c>
      <c r="Q2" s="19">
        <v>-41423.611111111109</v>
      </c>
    </row>
    <row r="3" spans="1:17">
      <c r="A3" s="21" t="str">
        <f>Inputs!$A$3</f>
        <v>Upside</v>
      </c>
      <c r="B3" s="48">
        <f>Timeline!A3</f>
        <v>2</v>
      </c>
      <c r="C3" s="2">
        <f>Timeline!B3</f>
        <v>45689</v>
      </c>
      <c r="D3" s="1">
        <f>IF(AND(B3&gt;=Inputs!$I$3+1,B3&lt;=Inputs!$I$3+Inputs!$H$3),1,0)</f>
        <v>1</v>
      </c>
      <c r="E3" s="1">
        <f>IF(AND(B3&gt;=Inputs!$I$3+1,B3&lt;=Inputs!$I$3+Inputs!$G$3),1,0)</f>
        <v>1</v>
      </c>
      <c r="F3" s="19">
        <v>50.203706189182419</v>
      </c>
      <c r="G3" s="19">
        <v>0</v>
      </c>
      <c r="H3" s="19">
        <v>12.014897852597391</v>
      </c>
      <c r="I3" s="19">
        <v>10012.414877164492</v>
      </c>
      <c r="J3" s="19">
        <v>9011.173389448044</v>
      </c>
      <c r="K3" s="19">
        <v>-45.055866947240219</v>
      </c>
      <c r="L3" s="19">
        <v>-1046.2973546636877</v>
      </c>
      <c r="M3" s="19">
        <v>-3333.3333333333335</v>
      </c>
      <c r="N3" s="19">
        <v>-2048.6111111111113</v>
      </c>
      <c r="O3" s="19">
        <v>-6428.2417991081329</v>
      </c>
      <c r="P3" s="19">
        <v>-26041.666666666668</v>
      </c>
      <c r="Q3" s="19">
        <v>-32469.908465774803</v>
      </c>
    </row>
    <row r="4" spans="1:17">
      <c r="A4" s="21" t="str">
        <f>Inputs!$A$3</f>
        <v>Upside</v>
      </c>
      <c r="B4" s="48">
        <f>Timeline!A4</f>
        <v>3</v>
      </c>
      <c r="C4" s="2">
        <f>Timeline!B4</f>
        <v>45717</v>
      </c>
      <c r="D4" s="1">
        <f>IF(AND(B4&gt;=Inputs!$I$3+1,B4&lt;=Inputs!$I$3+Inputs!$H$3),1,0)</f>
        <v>1</v>
      </c>
      <c r="E4" s="1">
        <f>IF(AND(B4&gt;=Inputs!$I$3+1,B4&lt;=Inputs!$I$3+Inputs!$G$3),1,0)</f>
        <v>0</v>
      </c>
      <c r="F4" s="19">
        <v>50.408242302595049</v>
      </c>
      <c r="G4" s="19">
        <v>42006.868585495868</v>
      </c>
      <c r="H4" s="19">
        <v>12.029814200695785</v>
      </c>
      <c r="I4" s="19">
        <v>10024.845167246487</v>
      </c>
      <c r="J4" s="19">
        <v>9022.3606505218395</v>
      </c>
      <c r="K4" s="19">
        <v>-255.14614618008855</v>
      </c>
      <c r="L4" s="19">
        <v>40749.237922591135</v>
      </c>
      <c r="M4" s="19">
        <v>-3333.3333333333335</v>
      </c>
      <c r="N4" s="19">
        <v>-2048.6111111111113</v>
      </c>
      <c r="O4" s="19">
        <v>35367.29347814669</v>
      </c>
      <c r="P4" s="19">
        <v>-26041.666666666668</v>
      </c>
      <c r="Q4" s="19">
        <v>9325.6268114800223</v>
      </c>
    </row>
    <row r="5" spans="1:17">
      <c r="A5" s="21" t="str">
        <f>Inputs!$A$3</f>
        <v>Upside</v>
      </c>
      <c r="B5" s="48">
        <f>Timeline!A5</f>
        <v>4</v>
      </c>
      <c r="C5" s="2">
        <f>Timeline!B5</f>
        <v>45748</v>
      </c>
      <c r="D5" s="1">
        <f>IF(AND(B5&gt;=Inputs!$I$3+1,B5&lt;=Inputs!$I$3+Inputs!$H$3),1,0)</f>
        <v>1</v>
      </c>
      <c r="E5" s="1">
        <f>IF(AND(B5&gt;=Inputs!$I$3+1,B5&lt;=Inputs!$I$3+Inputs!$G$3),1,0)</f>
        <v>0</v>
      </c>
      <c r="F5" s="19">
        <v>50.613611721451967</v>
      </c>
      <c r="G5" s="19">
        <v>42178.00976787664</v>
      </c>
      <c r="H5" s="19">
        <v>12.044749067257115</v>
      </c>
      <c r="I5" s="19">
        <v>10037.290889380929</v>
      </c>
      <c r="J5" s="19">
        <v>9033.5618004428361</v>
      </c>
      <c r="K5" s="19">
        <v>-256.05785784159735</v>
      </c>
      <c r="L5" s="19">
        <v>40918.222821096948</v>
      </c>
      <c r="M5" s="19">
        <v>-3333.3333333333335</v>
      </c>
      <c r="N5" s="19">
        <v>-2048.6111111111113</v>
      </c>
      <c r="O5" s="19">
        <v>35536.278376652503</v>
      </c>
      <c r="P5" s="19">
        <v>-26041.666666666668</v>
      </c>
      <c r="Q5" s="19">
        <v>9494.6117099858348</v>
      </c>
    </row>
    <row r="6" spans="1:17">
      <c r="A6" s="21" t="str">
        <f>Inputs!$A$3</f>
        <v>Upside</v>
      </c>
      <c r="B6" s="48">
        <f>Timeline!A6</f>
        <v>5</v>
      </c>
      <c r="C6" s="2">
        <f>Timeline!B6</f>
        <v>45778</v>
      </c>
      <c r="D6" s="1">
        <f>IF(AND(B6&gt;=Inputs!$I$3+1,B6&lt;=Inputs!$I$3+Inputs!$H$3),1,0)</f>
        <v>1</v>
      </c>
      <c r="E6" s="1">
        <f>IF(AND(B6&gt;=Inputs!$I$3+1,B6&lt;=Inputs!$I$3+Inputs!$G$3),1,0)</f>
        <v>0</v>
      </c>
      <c r="F6" s="19">
        <v>50.819817840742672</v>
      </c>
      <c r="G6" s="19">
        <v>42349.848200618893</v>
      </c>
      <c r="H6" s="19">
        <v>12.05970247527183</v>
      </c>
      <c r="I6" s="19">
        <v>10049.752062726524</v>
      </c>
      <c r="J6" s="19">
        <v>9044.776856453871</v>
      </c>
      <c r="K6" s="19">
        <v>-256.97312528536384</v>
      </c>
      <c r="L6" s="19">
        <v>41087.899869060871</v>
      </c>
      <c r="M6" s="19">
        <v>-3333.3333333333335</v>
      </c>
      <c r="N6" s="19">
        <v>-2048.6111111111113</v>
      </c>
      <c r="O6" s="19">
        <v>35705.955424616426</v>
      </c>
      <c r="P6" s="19">
        <v>-26041.666666666668</v>
      </c>
      <c r="Q6" s="19">
        <v>9664.2887579497583</v>
      </c>
    </row>
    <row r="7" spans="1:17">
      <c r="A7" s="21" t="str">
        <f>Inputs!$A$3</f>
        <v>Upside</v>
      </c>
      <c r="B7" s="48">
        <f>Timeline!A7</f>
        <v>6</v>
      </c>
      <c r="C7" s="2">
        <f>Timeline!B7</f>
        <v>45809</v>
      </c>
      <c r="D7" s="1">
        <f>IF(AND(B7&gt;=Inputs!$I$3+1,B7&lt;=Inputs!$I$3+Inputs!$H$3),1,0)</f>
        <v>1</v>
      </c>
      <c r="E7" s="1">
        <f>IF(AND(B7&gt;=Inputs!$I$3+1,B7&lt;=Inputs!$I$3+Inputs!$G$3),1,0)</f>
        <v>0</v>
      </c>
      <c r="F7" s="19">
        <v>51.026864069288315</v>
      </c>
      <c r="G7" s="19">
        <v>42522.386724406926</v>
      </c>
      <c r="H7" s="19">
        <v>12.074674447758913</v>
      </c>
      <c r="I7" s="19">
        <v>10062.228706465761</v>
      </c>
      <c r="J7" s="19">
        <v>9056.0058358191854</v>
      </c>
      <c r="K7" s="19">
        <v>-257.8919628011306</v>
      </c>
      <c r="L7" s="19">
        <v>41258.271890959222</v>
      </c>
      <c r="M7" s="19">
        <v>-3333.3333333333335</v>
      </c>
      <c r="N7" s="19">
        <v>-2048.6111111111113</v>
      </c>
      <c r="O7" s="19">
        <v>35876.327446514777</v>
      </c>
      <c r="P7" s="19">
        <v>-26041.666666666668</v>
      </c>
      <c r="Q7" s="19">
        <v>9834.6607798481091</v>
      </c>
    </row>
    <row r="8" spans="1:17">
      <c r="A8" s="21" t="str">
        <f>Inputs!$A$3</f>
        <v>Upside</v>
      </c>
      <c r="B8" s="48">
        <f>Timeline!A8</f>
        <v>7</v>
      </c>
      <c r="C8" s="2">
        <f>Timeline!B8</f>
        <v>45839</v>
      </c>
      <c r="D8" s="1">
        <f>IF(AND(B8&gt;=Inputs!$I$3+1,B8&lt;=Inputs!$I$3+Inputs!$H$3),1,0)</f>
        <v>1</v>
      </c>
      <c r="E8" s="1">
        <f>IF(AND(B8&gt;=Inputs!$I$3+1,B8&lt;=Inputs!$I$3+Inputs!$G$3),1,0)</f>
        <v>0</v>
      </c>
      <c r="F8" s="19">
        <v>51.234753829797995</v>
      </c>
      <c r="G8" s="19">
        <v>42695.628191498326</v>
      </c>
      <c r="H8" s="19">
        <v>12.08966500776593</v>
      </c>
      <c r="I8" s="19">
        <v>10074.720839804942</v>
      </c>
      <c r="J8" s="19">
        <v>9067.2487558244484</v>
      </c>
      <c r="K8" s="19">
        <v>-258.81438473661387</v>
      </c>
      <c r="L8" s="19">
        <v>41429.341722781217</v>
      </c>
      <c r="M8" s="19">
        <v>-3333.3333333333335</v>
      </c>
      <c r="N8" s="19">
        <v>-2048.6111111111113</v>
      </c>
      <c r="O8" s="19">
        <v>36047.397278336772</v>
      </c>
      <c r="P8" s="19">
        <v>-26041.666666666668</v>
      </c>
      <c r="Q8" s="19">
        <v>10005.730611670104</v>
      </c>
    </row>
    <row r="9" spans="1:17">
      <c r="A9" s="21" t="str">
        <f>Inputs!$A$3</f>
        <v>Upside</v>
      </c>
      <c r="B9" s="48">
        <f>Timeline!A9</f>
        <v>8</v>
      </c>
      <c r="C9" s="2">
        <f>Timeline!B9</f>
        <v>45870</v>
      </c>
      <c r="D9" s="1">
        <f>IF(AND(B9&gt;=Inputs!$I$3+1,B9&lt;=Inputs!$I$3+Inputs!$H$3),1,0)</f>
        <v>1</v>
      </c>
      <c r="E9" s="1">
        <f>IF(AND(B9&gt;=Inputs!$I$3+1,B9&lt;=Inputs!$I$3+Inputs!$G$3),1,0)</f>
        <v>0</v>
      </c>
      <c r="F9" s="19">
        <v>51.44349055892534</v>
      </c>
      <c r="G9" s="19">
        <v>42869.575465771115</v>
      </c>
      <c r="H9" s="19">
        <v>12.104674178369059</v>
      </c>
      <c r="I9" s="19">
        <v>10087.228481974214</v>
      </c>
      <c r="J9" s="19">
        <v>9078.5056337767928</v>
      </c>
      <c r="K9" s="19">
        <v>-259.74040549773957</v>
      </c>
      <c r="L9" s="19">
        <v>41601.112212075961</v>
      </c>
      <c r="M9" s="19">
        <v>-3333.3333333333335</v>
      </c>
      <c r="N9" s="19">
        <v>-2048.6111111111113</v>
      </c>
      <c r="O9" s="19">
        <v>36219.167767631516</v>
      </c>
      <c r="P9" s="19">
        <v>-26041.666666666668</v>
      </c>
      <c r="Q9" s="19">
        <v>10177.501100964848</v>
      </c>
    </row>
    <row r="10" spans="1:17">
      <c r="A10" s="21" t="str">
        <f>Inputs!$A$3</f>
        <v>Upside</v>
      </c>
      <c r="B10" s="48">
        <f>Timeline!A10</f>
        <v>9</v>
      </c>
      <c r="C10" s="2">
        <f>Timeline!B10</f>
        <v>45901</v>
      </c>
      <c r="D10" s="1">
        <f>IF(AND(B10&gt;=Inputs!$I$3+1,B10&lt;=Inputs!$I$3+Inputs!$H$3),1,0)</f>
        <v>1</v>
      </c>
      <c r="E10" s="1">
        <f>IF(AND(B10&gt;=Inputs!$I$3+1,B10&lt;=Inputs!$I$3+Inputs!$G$3),1,0)</f>
        <v>0</v>
      </c>
      <c r="F10" s="19">
        <v>51.653077707325345</v>
      </c>
      <c r="G10" s="19">
        <v>43044.231422771118</v>
      </c>
      <c r="H10" s="19">
        <v>12.119701982673124</v>
      </c>
      <c r="I10" s="19">
        <v>10099.751652227604</v>
      </c>
      <c r="J10" s="19">
        <v>9089.7764870048431</v>
      </c>
      <c r="K10" s="19">
        <v>-260.6700395488798</v>
      </c>
      <c r="L10" s="19">
        <v>41773.586217999473</v>
      </c>
      <c r="M10" s="19">
        <v>-3333.3333333333335</v>
      </c>
      <c r="N10" s="19">
        <v>-2048.6111111111113</v>
      </c>
      <c r="O10" s="19">
        <v>36391.641773555028</v>
      </c>
      <c r="P10" s="19">
        <v>-26041.666666666668</v>
      </c>
      <c r="Q10" s="19">
        <v>10349.97510688836</v>
      </c>
    </row>
    <row r="11" spans="1:17">
      <c r="A11" s="21" t="str">
        <f>Inputs!$A$3</f>
        <v>Upside</v>
      </c>
      <c r="B11" s="48">
        <f>Timeline!A11</f>
        <v>10</v>
      </c>
      <c r="C11" s="2">
        <f>Timeline!B11</f>
        <v>45931</v>
      </c>
      <c r="D11" s="1">
        <f>IF(AND(B11&gt;=Inputs!$I$3+1,B11&lt;=Inputs!$I$3+Inputs!$H$3),1,0)</f>
        <v>1</v>
      </c>
      <c r="E11" s="1">
        <f>IF(AND(B11&gt;=Inputs!$I$3+1,B11&lt;=Inputs!$I$3+Inputs!$G$3),1,0)</f>
        <v>0</v>
      </c>
      <c r="F11" s="19">
        <v>51.863518739711388</v>
      </c>
      <c r="G11" s="19">
        <v>43219.598949759493</v>
      </c>
      <c r="H11" s="19">
        <v>12.13474844381164</v>
      </c>
      <c r="I11" s="19">
        <v>10112.290369843033</v>
      </c>
      <c r="J11" s="19">
        <v>9101.0613328587297</v>
      </c>
      <c r="K11" s="19">
        <v>-261.60330141309112</v>
      </c>
      <c r="L11" s="19">
        <v>41946.766611362102</v>
      </c>
      <c r="M11" s="19">
        <v>-3333.3333333333335</v>
      </c>
      <c r="N11" s="19">
        <v>-2048.6111111111113</v>
      </c>
      <c r="O11" s="19">
        <v>36564.822166917656</v>
      </c>
      <c r="P11" s="19">
        <v>-26041.666666666668</v>
      </c>
      <c r="Q11" s="19">
        <v>10523.155500250989</v>
      </c>
    </row>
    <row r="12" spans="1:17">
      <c r="A12" s="21" t="str">
        <f>Inputs!$A$3</f>
        <v>Upside</v>
      </c>
      <c r="B12" s="48">
        <f>Timeline!A12</f>
        <v>11</v>
      </c>
      <c r="C12" s="2">
        <f>Timeline!B12</f>
        <v>45962</v>
      </c>
      <c r="D12" s="1">
        <f>IF(AND(B12&gt;=Inputs!$I$3+1,B12&lt;=Inputs!$I$3+Inputs!$H$3),1,0)</f>
        <v>1</v>
      </c>
      <c r="E12" s="1">
        <f>IF(AND(B12&gt;=Inputs!$I$3+1,B12&lt;=Inputs!$I$3+Inputs!$G$3),1,0)</f>
        <v>0</v>
      </c>
      <c r="F12" s="19">
        <v>52.074817134912543</v>
      </c>
      <c r="G12" s="19">
        <v>43395.680945760454</v>
      </c>
      <c r="H12" s="19">
        <v>12.149813584946834</v>
      </c>
      <c r="I12" s="19">
        <v>10124.844654122362</v>
      </c>
      <c r="J12" s="19">
        <v>9112.3601887101267</v>
      </c>
      <c r="K12" s="19">
        <v>-262.5402056723529</v>
      </c>
      <c r="L12" s="19">
        <v>42120.656274675865</v>
      </c>
      <c r="M12" s="19">
        <v>-3333.3333333333335</v>
      </c>
      <c r="N12" s="19">
        <v>-2048.6111111111113</v>
      </c>
      <c r="O12" s="19">
        <v>36738.711830231419</v>
      </c>
      <c r="P12" s="19">
        <v>-26041.666666666668</v>
      </c>
      <c r="Q12" s="19">
        <v>10697.045163564751</v>
      </c>
    </row>
    <row r="13" spans="1:17">
      <c r="A13" s="21" t="str">
        <f>Inputs!$A$3</f>
        <v>Upside</v>
      </c>
      <c r="B13" s="48">
        <f>Timeline!A13</f>
        <v>12</v>
      </c>
      <c r="C13" s="2">
        <f>Timeline!B13</f>
        <v>45992</v>
      </c>
      <c r="D13" s="1">
        <f>IF(AND(B13&gt;=Inputs!$I$3+1,B13&lt;=Inputs!$I$3+Inputs!$H$3),1,0)</f>
        <v>1</v>
      </c>
      <c r="E13" s="1">
        <f>IF(AND(B13&gt;=Inputs!$I$3+1,B13&lt;=Inputs!$I$3+Inputs!$G$3),1,0)</f>
        <v>0</v>
      </c>
      <c r="F13" s="19">
        <v>52.286976385931027</v>
      </c>
      <c r="G13" s="19">
        <v>43572.48032160919</v>
      </c>
      <c r="H13" s="19">
        <v>12.164897429269695</v>
      </c>
      <c r="I13" s="19">
        <v>10137.414524391412</v>
      </c>
      <c r="J13" s="19">
        <v>9123.6730719522711</v>
      </c>
      <c r="K13" s="19">
        <v>-263.48076696780731</v>
      </c>
      <c r="L13" s="19">
        <v>42295.258102202242</v>
      </c>
      <c r="M13" s="19">
        <v>-3333.3333333333335</v>
      </c>
      <c r="N13" s="19">
        <v>-2048.6111111111113</v>
      </c>
      <c r="O13" s="19">
        <v>36913.313657757797</v>
      </c>
      <c r="P13" s="19">
        <v>-26041.666666666668</v>
      </c>
      <c r="Q13" s="19">
        <v>10871.646991091129</v>
      </c>
    </row>
    <row r="14" spans="1:17" s="13" customFormat="1">
      <c r="B14" s="15" t="s">
        <v>38</v>
      </c>
      <c r="C14" s="15"/>
      <c r="D14" s="15"/>
      <c r="E14" s="15"/>
      <c r="F14" s="15"/>
      <c r="G14" s="16">
        <f>SUM(G2:G13)</f>
        <v>427854.30857556802</v>
      </c>
      <c r="H14" s="15"/>
      <c r="I14" s="16">
        <f t="shared" ref="I14:Q14" si="0">SUM(I2:I13)</f>
        <v>120822.78222534776</v>
      </c>
      <c r="J14" s="16">
        <f t="shared" si="0"/>
        <v>99740.504002812988</v>
      </c>
      <c r="K14" s="17">
        <f t="shared" si="0"/>
        <v>-2637.9740628919053</v>
      </c>
      <c r="L14" s="16">
        <f t="shared" si="0"/>
        <v>404134.05629014137</v>
      </c>
      <c r="M14" s="16">
        <f t="shared" si="0"/>
        <v>-40000</v>
      </c>
      <c r="N14" s="16">
        <f t="shared" si="0"/>
        <v>-24583.333333333328</v>
      </c>
      <c r="O14" s="16">
        <f t="shared" si="0"/>
        <v>339550.72295680805</v>
      </c>
      <c r="P14" s="16">
        <f t="shared" si="0"/>
        <v>-312500</v>
      </c>
      <c r="Q14" s="16">
        <f t="shared" si="0"/>
        <v>27050.722956808</v>
      </c>
    </row>
    <row r="16" spans="1:17" ht="42.75">
      <c r="D16" s="35" t="s">
        <v>7</v>
      </c>
      <c r="G16" s="35" t="s">
        <v>4</v>
      </c>
      <c r="H16" s="36" t="s">
        <v>9</v>
      </c>
      <c r="J16" s="36" t="s">
        <v>10</v>
      </c>
      <c r="K16" s="36" t="s">
        <v>11</v>
      </c>
      <c r="P16" s="37" t="s">
        <v>18</v>
      </c>
    </row>
    <row r="17" spans="1:38">
      <c r="D17" s="30">
        <v>1</v>
      </c>
      <c r="G17" s="32">
        <v>0.03</v>
      </c>
      <c r="H17" s="33">
        <v>2.5000000000000001E-2</v>
      </c>
      <c r="J17" s="33">
        <v>0.8</v>
      </c>
      <c r="K17" s="33">
        <v>0.01</v>
      </c>
      <c r="P17" s="34">
        <v>0.05</v>
      </c>
    </row>
    <row r="18" spans="1:38">
      <c r="D18" s="30">
        <v>1</v>
      </c>
      <c r="G18" s="32">
        <v>0.05</v>
      </c>
      <c r="H18" s="33">
        <v>1.4999999999999999E-2</v>
      </c>
      <c r="J18" s="33">
        <v>0.9</v>
      </c>
      <c r="K18" s="33">
        <v>5.0000000000000001E-3</v>
      </c>
      <c r="P18" s="34">
        <v>0.05</v>
      </c>
    </row>
    <row r="19" spans="1:38">
      <c r="D19" s="30">
        <v>2</v>
      </c>
      <c r="G19" s="32">
        <v>0</v>
      </c>
      <c r="H19" s="33">
        <v>3.5000000000000003E-2</v>
      </c>
      <c r="J19" s="33">
        <v>0.7</v>
      </c>
      <c r="K19" s="33">
        <v>0.02</v>
      </c>
      <c r="P19" s="34">
        <v>0.06</v>
      </c>
    </row>
    <row r="20" spans="1:38" customFormat="1" ht="13.5"/>
    <row r="21" spans="1:38" hidden="1"/>
    <row r="22" spans="1:38">
      <c r="T22" s="48" t="s">
        <v>99</v>
      </c>
      <c r="U22" s="48"/>
      <c r="V22" s="48"/>
      <c r="W22" s="48" t="s">
        <v>101</v>
      </c>
      <c r="X22" s="48"/>
      <c r="Y22" s="48"/>
      <c r="Z22" s="48" t="s">
        <v>102</v>
      </c>
      <c r="AA22" s="48"/>
      <c r="AB22" s="48"/>
      <c r="AC22" s="48" t="s">
        <v>103</v>
      </c>
      <c r="AD22" s="48"/>
      <c r="AE22" s="48"/>
      <c r="AF22" s="48" t="s">
        <v>138</v>
      </c>
      <c r="AG22" s="48" t="s">
        <v>139</v>
      </c>
      <c r="AH22" s="48" t="s">
        <v>140</v>
      </c>
      <c r="AI22" s="51"/>
    </row>
    <row r="23" spans="1:38" s="51" customFormat="1" ht="42.75">
      <c r="A23" s="1"/>
      <c r="B23" s="1"/>
      <c r="C23" s="1"/>
      <c r="D23" s="51" t="s">
        <v>24</v>
      </c>
      <c r="E23" s="51" t="s">
        <v>25</v>
      </c>
      <c r="F23" s="51" t="s">
        <v>26</v>
      </c>
      <c r="G23" s="51" t="s">
        <v>27</v>
      </c>
      <c r="H23" s="51" t="s">
        <v>28</v>
      </c>
      <c r="I23" s="51" t="s">
        <v>29</v>
      </c>
      <c r="J23" s="51" t="s">
        <v>30</v>
      </c>
      <c r="K23" s="51" t="s">
        <v>31</v>
      </c>
      <c r="L23" s="51" t="s">
        <v>32</v>
      </c>
      <c r="M23" s="51" t="s">
        <v>33</v>
      </c>
      <c r="N23" s="51" t="s">
        <v>34</v>
      </c>
      <c r="O23" s="52" t="s">
        <v>35</v>
      </c>
      <c r="P23" s="51" t="s">
        <v>36</v>
      </c>
      <c r="Q23" s="51" t="s">
        <v>37</v>
      </c>
      <c r="S23" s="1"/>
      <c r="T23" s="51" t="s">
        <v>32</v>
      </c>
      <c r="U23" s="52" t="s">
        <v>35</v>
      </c>
      <c r="V23" s="51" t="s">
        <v>37</v>
      </c>
      <c r="W23" s="51" t="s">
        <v>32</v>
      </c>
      <c r="X23" s="52" t="s">
        <v>35</v>
      </c>
      <c r="Y23" s="51" t="s">
        <v>37</v>
      </c>
      <c r="Z23" s="51" t="s">
        <v>32</v>
      </c>
      <c r="AA23" s="52" t="s">
        <v>35</v>
      </c>
      <c r="AB23" s="51" t="s">
        <v>37</v>
      </c>
      <c r="AC23" s="51" t="s">
        <v>32</v>
      </c>
      <c r="AD23" s="52" t="s">
        <v>35</v>
      </c>
      <c r="AE23" s="51" t="s">
        <v>37</v>
      </c>
      <c r="AF23" s="1"/>
      <c r="AG23" s="1"/>
      <c r="AH23" s="1"/>
      <c r="AI23" s="49" t="s">
        <v>141</v>
      </c>
      <c r="AJ23" s="49" t="s">
        <v>142</v>
      </c>
      <c r="AK23" s="49" t="s">
        <v>143</v>
      </c>
      <c r="AL23" s="49" t="s">
        <v>144</v>
      </c>
    </row>
    <row r="24" spans="1:38">
      <c r="A24" s="1" t="s">
        <v>85</v>
      </c>
      <c r="D24" s="1">
        <v>11</v>
      </c>
      <c r="E24" s="1">
        <v>1</v>
      </c>
      <c r="F24" s="50">
        <v>608.20597034643811</v>
      </c>
      <c r="G24" s="50">
        <v>423402.21404818585</v>
      </c>
      <c r="H24" s="50">
        <v>145.64264373443959</v>
      </c>
      <c r="I24" s="50">
        <v>121368.86977869966</v>
      </c>
      <c r="J24" s="50">
        <v>89095.095822959731</v>
      </c>
      <c r="K24" s="50">
        <v>-5124.9730987114553</v>
      </c>
      <c r="L24" s="50">
        <v>386003.4669937343</v>
      </c>
      <c r="M24" s="50">
        <v>-40000</v>
      </c>
      <c r="N24" s="50">
        <v>-24583.333333333328</v>
      </c>
      <c r="O24" s="50">
        <v>321420.1336604011</v>
      </c>
      <c r="P24" s="50">
        <v>-312500</v>
      </c>
      <c r="Q24" s="50">
        <v>8920.1336604010539</v>
      </c>
      <c r="S24" s="1" t="s">
        <v>85</v>
      </c>
      <c r="T24" s="50">
        <v>27280.8559551781</v>
      </c>
      <c r="U24" s="50">
        <v>11135.022621844764</v>
      </c>
      <c r="V24" s="50">
        <v>-66989.977378155236</v>
      </c>
      <c r="W24" s="50">
        <v>118683.99851060309</v>
      </c>
      <c r="X24" s="50">
        <v>102538.16517726975</v>
      </c>
      <c r="Y24" s="50">
        <v>24413.165177269748</v>
      </c>
      <c r="Z24" s="50">
        <v>119571.99233553887</v>
      </c>
      <c r="AA24" s="50">
        <v>103426.15900220555</v>
      </c>
      <c r="AB24" s="50">
        <v>25301.159002205535</v>
      </c>
      <c r="AC24" s="50">
        <v>120466.62019241434</v>
      </c>
      <c r="AD24" s="50">
        <v>104320.78685908101</v>
      </c>
      <c r="AE24" s="50">
        <v>26195.786859080999</v>
      </c>
      <c r="AF24" s="50">
        <v>386003.4669937343</v>
      </c>
      <c r="AG24" s="50">
        <v>321420.1336604011</v>
      </c>
      <c r="AH24" s="50">
        <v>8920.1336604010539</v>
      </c>
    </row>
    <row r="25" spans="1:38">
      <c r="A25" s="1" t="s">
        <v>87</v>
      </c>
      <c r="D25" s="1">
        <v>11</v>
      </c>
      <c r="E25" s="1">
        <v>1</v>
      </c>
      <c r="F25" s="50">
        <v>613.62887647986395</v>
      </c>
      <c r="G25" s="50">
        <v>427854.30857556802</v>
      </c>
      <c r="H25" s="50">
        <v>144.98733867041733</v>
      </c>
      <c r="I25" s="50">
        <v>120822.78222534776</v>
      </c>
      <c r="J25" s="50">
        <v>99740.504002812988</v>
      </c>
      <c r="K25" s="50">
        <v>-2637.9740628919053</v>
      </c>
      <c r="L25" s="50">
        <v>404134.05629014137</v>
      </c>
      <c r="M25" s="50">
        <v>-40000</v>
      </c>
      <c r="N25" s="50">
        <v>-24583.333333333328</v>
      </c>
      <c r="O25" s="50">
        <v>339550.72295680805</v>
      </c>
      <c r="P25" s="50">
        <v>-312500</v>
      </c>
      <c r="Q25" s="50">
        <v>27050.722956808</v>
      </c>
      <c r="S25" s="1" t="s">
        <v>87</v>
      </c>
      <c r="T25" s="50">
        <v>29702.94056792745</v>
      </c>
      <c r="U25" s="50">
        <v>13557.107234594114</v>
      </c>
      <c r="V25" s="50">
        <v>-64567.892765405893</v>
      </c>
      <c r="W25" s="50">
        <v>123264.39458111704</v>
      </c>
      <c r="X25" s="50">
        <v>107118.56124778371</v>
      </c>
      <c r="Y25" s="50">
        <v>28993.561247783702</v>
      </c>
      <c r="Z25" s="50">
        <v>124804.04015285666</v>
      </c>
      <c r="AA25" s="50">
        <v>108658.2068195233</v>
      </c>
      <c r="AB25" s="50">
        <v>30533.206819523311</v>
      </c>
      <c r="AC25" s="50">
        <v>126362.6809882402</v>
      </c>
      <c r="AD25" s="50">
        <v>110216.84765490687</v>
      </c>
      <c r="AE25" s="50">
        <v>32091.847654906869</v>
      </c>
      <c r="AF25" s="50">
        <v>404134.05629014137</v>
      </c>
      <c r="AG25" s="50">
        <v>339550.72295680805</v>
      </c>
      <c r="AH25" s="50">
        <v>27050.722956808</v>
      </c>
      <c r="AI25" s="50">
        <f>T25-$T$24</f>
        <v>2422.0846127493496</v>
      </c>
      <c r="AJ25" s="50">
        <f>AF25-$AF$24</f>
        <v>18130.589296407066</v>
      </c>
      <c r="AK25" s="28">
        <f>T25/$T$24-1</f>
        <v>8.8783307119424171E-2</v>
      </c>
      <c r="AL25" s="28">
        <f>AF25/$AF$24-1</f>
        <v>4.6970016714128038E-2</v>
      </c>
    </row>
    <row r="26" spans="1:38">
      <c r="A26" s="1" t="s">
        <v>83</v>
      </c>
      <c r="B26" s="1">
        <v>1</v>
      </c>
      <c r="C26" s="55">
        <v>45658</v>
      </c>
      <c r="D26" s="1">
        <v>0</v>
      </c>
      <c r="E26" s="1">
        <v>0</v>
      </c>
      <c r="F26" s="50">
        <v>50</v>
      </c>
      <c r="G26" s="50">
        <v>0</v>
      </c>
      <c r="H26" s="50">
        <v>12</v>
      </c>
      <c r="I26" s="50">
        <v>10000</v>
      </c>
      <c r="J26" s="50">
        <v>0</v>
      </c>
      <c r="K26" s="50">
        <v>0</v>
      </c>
      <c r="L26" s="50">
        <v>-10000</v>
      </c>
      <c r="M26" s="50">
        <v>-3333.3333333333335</v>
      </c>
      <c r="N26" s="50">
        <v>-2048.6111111111113</v>
      </c>
      <c r="O26" s="50">
        <v>-15381.944444444445</v>
      </c>
      <c r="P26" s="50">
        <v>-28125</v>
      </c>
      <c r="Q26" s="50">
        <v>-43506.944444444445</v>
      </c>
      <c r="S26" s="1" t="s">
        <v>83</v>
      </c>
      <c r="T26" s="50">
        <v>-23186.764111213259</v>
      </c>
      <c r="U26" s="50">
        <v>-39332.597444546591</v>
      </c>
      <c r="V26" s="50">
        <v>-123707.59744454658</v>
      </c>
      <c r="W26" s="50">
        <v>112971.33169923192</v>
      </c>
      <c r="X26" s="50">
        <v>96825.498365898573</v>
      </c>
      <c r="Y26" s="50">
        <v>12450.498365898573</v>
      </c>
      <c r="Z26" s="50">
        <v>112889.0283413539</v>
      </c>
      <c r="AA26" s="50">
        <v>96743.195008020572</v>
      </c>
      <c r="AB26" s="50">
        <v>12368.195008020572</v>
      </c>
      <c r="AC26" s="50">
        <v>112806.0140926668</v>
      </c>
      <c r="AD26" s="50">
        <v>96660.180759333452</v>
      </c>
      <c r="AE26" s="50">
        <v>12285.18075933346</v>
      </c>
      <c r="AF26" s="50">
        <v>315479.61002203939</v>
      </c>
      <c r="AG26" s="50">
        <v>250896.27668870598</v>
      </c>
      <c r="AH26" s="50">
        <v>-86603.723311293987</v>
      </c>
      <c r="AI26" s="50">
        <f>T26-$T$24</f>
        <v>-50467.620066391362</v>
      </c>
      <c r="AJ26" s="50">
        <f>AF26-$AF$24</f>
        <v>-70523.856971694913</v>
      </c>
      <c r="AK26" s="28">
        <f>T26/$T$24-1</f>
        <v>-1.8499280282594008</v>
      </c>
      <c r="AL26" s="28">
        <f>AF26/$AF$24-1</f>
        <v>-0.18270265166514599</v>
      </c>
    </row>
    <row r="27" spans="1:38" hidden="1">
      <c r="B27" s="1">
        <v>2</v>
      </c>
      <c r="C27" s="55">
        <v>45689</v>
      </c>
      <c r="D27" s="1">
        <v>0</v>
      </c>
      <c r="E27" s="1">
        <v>0</v>
      </c>
      <c r="F27" s="50">
        <v>50</v>
      </c>
      <c r="G27" s="50">
        <v>0</v>
      </c>
      <c r="H27" s="50">
        <v>12.03445078462892</v>
      </c>
      <c r="I27" s="50">
        <v>10028.708987190766</v>
      </c>
      <c r="J27" s="50">
        <v>0</v>
      </c>
      <c r="K27" s="50">
        <v>0</v>
      </c>
      <c r="L27" s="50">
        <v>-10028.708987190766</v>
      </c>
      <c r="M27" s="50">
        <v>-3333.3333333333335</v>
      </c>
      <c r="N27" s="50">
        <v>-2048.6111111111113</v>
      </c>
      <c r="O27" s="50">
        <v>-15410.653431635212</v>
      </c>
      <c r="P27" s="50">
        <v>-28125</v>
      </c>
      <c r="Q27" s="50">
        <v>-43535.653431635212</v>
      </c>
      <c r="S27" s="1" t="s">
        <v>137</v>
      </c>
      <c r="T27" s="50">
        <v>33797.032411892294</v>
      </c>
      <c r="U27" s="50">
        <v>-14640.467588107715</v>
      </c>
      <c r="V27" s="50">
        <v>-255265.46758810771</v>
      </c>
      <c r="W27" s="50">
        <v>354919.72479095211</v>
      </c>
      <c r="X27" s="50">
        <v>306482.22479095205</v>
      </c>
      <c r="Y27" s="50">
        <v>65857.224790952023</v>
      </c>
      <c r="Z27" s="50">
        <v>357265.06082974945</v>
      </c>
      <c r="AA27" s="50">
        <v>308827.56082974945</v>
      </c>
      <c r="AB27" s="50">
        <v>68202.560829749418</v>
      </c>
      <c r="AC27" s="50">
        <v>359635.31527332141</v>
      </c>
      <c r="AD27" s="50">
        <v>311197.81527332135</v>
      </c>
      <c r="AE27" s="50">
        <v>70572.815273321321</v>
      </c>
      <c r="AF27" s="50">
        <v>1105617.1333059149</v>
      </c>
      <c r="AG27" s="50">
        <v>911867.13330591505</v>
      </c>
      <c r="AH27" s="50">
        <v>-50632.866694084958</v>
      </c>
    </row>
    <row r="28" spans="1:38" ht="14.65">
      <c r="B28" s="1">
        <v>3</v>
      </c>
      <c r="C28" s="55">
        <v>45717</v>
      </c>
      <c r="D28" s="1">
        <v>1</v>
      </c>
      <c r="E28" s="1">
        <v>1</v>
      </c>
      <c r="F28" s="50">
        <v>50</v>
      </c>
      <c r="G28" s="50">
        <v>0</v>
      </c>
      <c r="H28" s="50">
        <v>12.0690004739713</v>
      </c>
      <c r="I28" s="50">
        <v>10057.500394976085</v>
      </c>
      <c r="J28" s="50">
        <v>7040.2502764832589</v>
      </c>
      <c r="K28" s="50">
        <v>-140.80500552966518</v>
      </c>
      <c r="L28" s="50">
        <v>-3158.0551240224913</v>
      </c>
      <c r="M28" s="50">
        <v>-3333.3333333333335</v>
      </c>
      <c r="N28" s="50">
        <v>-2048.6111111111113</v>
      </c>
      <c r="O28" s="50">
        <v>-8539.9995684669357</v>
      </c>
      <c r="P28" s="50">
        <v>-28125</v>
      </c>
      <c r="Q28" s="50">
        <v>-36664.999568466934</v>
      </c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</row>
    <row r="29" spans="1:38">
      <c r="B29" s="1">
        <v>4</v>
      </c>
      <c r="C29" s="55">
        <v>45748</v>
      </c>
      <c r="D29" s="1">
        <v>1</v>
      </c>
      <c r="E29" s="1">
        <v>0</v>
      </c>
      <c r="F29" s="50">
        <v>50</v>
      </c>
      <c r="G29" s="50">
        <v>41666.666666666672</v>
      </c>
      <c r="H29" s="50">
        <v>12.10364935197256</v>
      </c>
      <c r="I29" s="50">
        <v>10086.374459977134</v>
      </c>
      <c r="J29" s="50">
        <v>7060.4621219839937</v>
      </c>
      <c r="K29" s="50">
        <v>-974.54257577301325</v>
      </c>
      <c r="L29" s="50">
        <v>37666.211752900519</v>
      </c>
      <c r="M29" s="50">
        <v>-3333.3333333333335</v>
      </c>
      <c r="N29" s="50">
        <v>-2048.6111111111113</v>
      </c>
      <c r="O29" s="50">
        <v>32284.267308456074</v>
      </c>
      <c r="P29" s="50">
        <v>-28125</v>
      </c>
      <c r="Q29" s="50">
        <v>4159.2673084560738</v>
      </c>
    </row>
    <row r="30" spans="1:38" ht="14.65">
      <c r="B30" s="1">
        <v>5</v>
      </c>
      <c r="C30" s="55">
        <v>45778</v>
      </c>
      <c r="D30" s="1">
        <v>1</v>
      </c>
      <c r="E30" s="1">
        <v>0</v>
      </c>
      <c r="F30" s="50">
        <v>50</v>
      </c>
      <c r="G30" s="50">
        <v>41666.666666666672</v>
      </c>
      <c r="H30" s="50">
        <v>12.138397703393291</v>
      </c>
      <c r="I30" s="50">
        <v>10115.331419494409</v>
      </c>
      <c r="J30" s="50">
        <v>7080.7319936460854</v>
      </c>
      <c r="K30" s="50">
        <v>-974.94797320625514</v>
      </c>
      <c r="L30" s="50">
        <v>37657.119267612092</v>
      </c>
      <c r="M30" s="50">
        <v>-3333.3333333333335</v>
      </c>
      <c r="N30" s="50">
        <v>-2048.6111111111113</v>
      </c>
      <c r="O30" s="50">
        <v>32275.174823167647</v>
      </c>
      <c r="P30" s="50">
        <v>-28125</v>
      </c>
      <c r="Q30" s="50">
        <v>4150.1748231676465</v>
      </c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</row>
    <row r="31" spans="1:38">
      <c r="B31" s="1">
        <v>6</v>
      </c>
      <c r="C31" s="55">
        <v>45809</v>
      </c>
      <c r="D31" s="1">
        <v>1</v>
      </c>
      <c r="E31" s="1">
        <v>0</v>
      </c>
      <c r="F31" s="50">
        <v>50</v>
      </c>
      <c r="G31" s="50">
        <v>41666.666666666672</v>
      </c>
      <c r="H31" s="50">
        <v>12.173245813811604</v>
      </c>
      <c r="I31" s="50">
        <v>10144.371511509671</v>
      </c>
      <c r="J31" s="50">
        <v>7101.0600580567698</v>
      </c>
      <c r="K31" s="50">
        <v>-975.35453449446879</v>
      </c>
      <c r="L31" s="50">
        <v>37648.000678719298</v>
      </c>
      <c r="M31" s="50">
        <v>-3333.3333333333335</v>
      </c>
      <c r="N31" s="50">
        <v>-2048.6111111111113</v>
      </c>
      <c r="O31" s="50">
        <v>32266.056234274853</v>
      </c>
      <c r="P31" s="50">
        <v>-28125</v>
      </c>
      <c r="Q31" s="50">
        <v>4141.0562342748526</v>
      </c>
    </row>
    <row r="32" spans="1:38">
      <c r="B32" s="1">
        <v>7</v>
      </c>
      <c r="C32" s="55">
        <v>45839</v>
      </c>
      <c r="D32" s="1">
        <v>1</v>
      </c>
      <c r="E32" s="1">
        <v>0</v>
      </c>
      <c r="F32" s="50">
        <v>50</v>
      </c>
      <c r="G32" s="50">
        <v>41666.666666666672</v>
      </c>
      <c r="H32" s="50">
        <v>12.208193969625484</v>
      </c>
      <c r="I32" s="50">
        <v>10173.494974687903</v>
      </c>
      <c r="J32" s="50">
        <v>7121.4464822815316</v>
      </c>
      <c r="K32" s="50">
        <v>-975.76226297896415</v>
      </c>
      <c r="L32" s="50">
        <v>37638.855911281338</v>
      </c>
      <c r="M32" s="50">
        <v>-3333.3333333333335</v>
      </c>
      <c r="N32" s="50">
        <v>-2048.6111111111113</v>
      </c>
      <c r="O32" s="50">
        <v>32256.911466836893</v>
      </c>
      <c r="P32" s="50">
        <v>-28125</v>
      </c>
      <c r="Q32" s="50">
        <v>4131.9114668368929</v>
      </c>
    </row>
    <row r="33" spans="1:66" ht="14.65">
      <c r="B33" s="1">
        <v>8</v>
      </c>
      <c r="C33" s="55">
        <v>45870</v>
      </c>
      <c r="D33" s="1">
        <v>1</v>
      </c>
      <c r="E33" s="1">
        <v>0</v>
      </c>
      <c r="F33" s="50">
        <v>50</v>
      </c>
      <c r="G33" s="50">
        <v>41666.666666666672</v>
      </c>
      <c r="H33" s="50">
        <v>12.24324245805512</v>
      </c>
      <c r="I33" s="50">
        <v>10202.702048379266</v>
      </c>
      <c r="J33" s="50">
        <v>7141.8914338654859</v>
      </c>
      <c r="K33" s="50">
        <v>-976.17116201064323</v>
      </c>
      <c r="L33" s="50">
        <v>37629.684890142249</v>
      </c>
      <c r="M33" s="50">
        <v>-3333.3333333333335</v>
      </c>
      <c r="N33" s="50">
        <v>-2048.6111111111113</v>
      </c>
      <c r="O33" s="50">
        <v>32247.740445697804</v>
      </c>
      <c r="P33" s="50">
        <v>-28125</v>
      </c>
      <c r="Q33" s="50">
        <v>4122.7404456978038</v>
      </c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</row>
    <row r="34" spans="1:66" ht="14.65">
      <c r="B34" s="1">
        <v>9</v>
      </c>
      <c r="C34" s="55">
        <v>45901</v>
      </c>
      <c r="D34" s="1">
        <v>1</v>
      </c>
      <c r="E34" s="1">
        <v>0</v>
      </c>
      <c r="F34" s="50">
        <v>50</v>
      </c>
      <c r="G34" s="50">
        <v>41666.666666666672</v>
      </c>
      <c r="H34" s="50">
        <v>12.278391567145293</v>
      </c>
      <c r="I34" s="50">
        <v>10231.992972621078</v>
      </c>
      <c r="J34" s="50">
        <v>7162.3950808347536</v>
      </c>
      <c r="K34" s="50">
        <v>-976.58123495002849</v>
      </c>
      <c r="L34" s="50">
        <v>37620.48753993032</v>
      </c>
      <c r="M34" s="50">
        <v>-3333.3333333333335</v>
      </c>
      <c r="N34" s="50">
        <v>-2048.6111111111113</v>
      </c>
      <c r="O34" s="50">
        <v>32238.543095485875</v>
      </c>
      <c r="P34" s="50">
        <v>-28125</v>
      </c>
      <c r="Q34" s="50">
        <v>4113.5430954858748</v>
      </c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</row>
    <row r="35" spans="1:66" ht="14.65">
      <c r="B35" s="1">
        <v>10</v>
      </c>
      <c r="C35" s="55">
        <v>45931</v>
      </c>
      <c r="D35" s="1">
        <v>1</v>
      </c>
      <c r="E35" s="1">
        <v>0</v>
      </c>
      <c r="F35" s="50">
        <v>50</v>
      </c>
      <c r="G35" s="50">
        <v>41666.666666666672</v>
      </c>
      <c r="H35" s="50">
        <v>12.313641585767733</v>
      </c>
      <c r="I35" s="50">
        <v>10261.367988139778</v>
      </c>
      <c r="J35" s="50">
        <v>7182.9575916978447</v>
      </c>
      <c r="K35" s="50">
        <v>-976.99248516729028</v>
      </c>
      <c r="L35" s="50">
        <v>37611.263785057447</v>
      </c>
      <c r="M35" s="50">
        <v>-3333.3333333333335</v>
      </c>
      <c r="N35" s="50">
        <v>-2048.6111111111113</v>
      </c>
      <c r="O35" s="50">
        <v>32229.319340613001</v>
      </c>
      <c r="P35" s="50">
        <v>-28125</v>
      </c>
      <c r="Q35" s="50">
        <v>4104.3193406130013</v>
      </c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</row>
    <row r="36" spans="1:66" ht="14.65">
      <c r="B36" s="1">
        <v>11</v>
      </c>
      <c r="C36" s="55">
        <v>45962</v>
      </c>
      <c r="D36" s="1">
        <v>1</v>
      </c>
      <c r="E36" s="1">
        <v>0</v>
      </c>
      <c r="F36" s="50">
        <v>50</v>
      </c>
      <c r="G36" s="50">
        <v>41666.666666666672</v>
      </c>
      <c r="H36" s="50">
        <v>12.348992803623482</v>
      </c>
      <c r="I36" s="50">
        <v>10290.827336352901</v>
      </c>
      <c r="J36" s="50">
        <v>7203.5791354470302</v>
      </c>
      <c r="K36" s="50">
        <v>-977.40491604227395</v>
      </c>
      <c r="L36" s="50">
        <v>37602.013549718526</v>
      </c>
      <c r="M36" s="50">
        <v>-3333.3333333333335</v>
      </c>
      <c r="N36" s="50">
        <v>-2048.6111111111113</v>
      </c>
      <c r="O36" s="50">
        <v>32220.06910527408</v>
      </c>
      <c r="P36" s="50">
        <v>-28125</v>
      </c>
      <c r="Q36" s="50">
        <v>4095.0691052740804</v>
      </c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</row>
    <row r="37" spans="1:66" ht="14.65">
      <c r="B37" s="1">
        <v>12</v>
      </c>
      <c r="C37" s="55">
        <v>45992</v>
      </c>
      <c r="D37" s="1">
        <v>1</v>
      </c>
      <c r="E37" s="1">
        <v>0</v>
      </c>
      <c r="F37" s="50">
        <v>50</v>
      </c>
      <c r="G37" s="50">
        <v>41666.666666666672</v>
      </c>
      <c r="H37" s="50">
        <v>12.384445511245289</v>
      </c>
      <c r="I37" s="50">
        <v>10320.371259371075</v>
      </c>
      <c r="J37" s="50">
        <v>7224.2598815597521</v>
      </c>
      <c r="K37" s="50">
        <v>-977.81853096452846</v>
      </c>
      <c r="L37" s="50">
        <v>37592.736757890823</v>
      </c>
      <c r="M37" s="50">
        <v>-3333.3333333333335</v>
      </c>
      <c r="N37" s="50">
        <v>-2048.6111111111113</v>
      </c>
      <c r="O37" s="50">
        <v>32210.792313446378</v>
      </c>
      <c r="P37" s="50">
        <v>-28125</v>
      </c>
      <c r="Q37" s="50">
        <v>4085.7923134463781</v>
      </c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</row>
    <row r="38" spans="1:66" ht="14.65">
      <c r="A38" s="56" t="s">
        <v>145</v>
      </c>
      <c r="B38" s="56"/>
      <c r="C38" s="56"/>
      <c r="D38" s="56">
        <v>10</v>
      </c>
      <c r="E38" s="56">
        <v>1</v>
      </c>
      <c r="F38" s="57">
        <v>600</v>
      </c>
      <c r="G38" s="57">
        <v>375000.00000000012</v>
      </c>
      <c r="H38" s="57">
        <v>146.29565202324005</v>
      </c>
      <c r="I38" s="57">
        <v>121913.04335270009</v>
      </c>
      <c r="J38" s="57">
        <v>71319.034055856493</v>
      </c>
      <c r="K38" s="57">
        <v>-8926.3806811171307</v>
      </c>
      <c r="L38" s="57">
        <v>315479.61002203939</v>
      </c>
      <c r="M38" s="57">
        <v>-40000</v>
      </c>
      <c r="N38" s="57">
        <v>-24583.333333333328</v>
      </c>
      <c r="O38" s="57">
        <v>250896.27668870598</v>
      </c>
      <c r="P38" s="57">
        <v>-337500</v>
      </c>
      <c r="Q38" s="57">
        <v>-86603.723311293987</v>
      </c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</row>
    <row r="39" spans="1:66" ht="14.65">
      <c r="A39" s="1" t="s">
        <v>137</v>
      </c>
      <c r="D39" s="1">
        <v>32</v>
      </c>
      <c r="E39" s="1">
        <v>3</v>
      </c>
      <c r="F39" s="50">
        <v>1821.8348468263021</v>
      </c>
      <c r="G39" s="50">
        <v>1226256.5226237539</v>
      </c>
      <c r="H39" s="50">
        <v>436.92563442809711</v>
      </c>
      <c r="I39" s="50">
        <v>364104.69535674743</v>
      </c>
      <c r="J39" s="50">
        <v>260154.63388162915</v>
      </c>
      <c r="K39" s="50">
        <v>-16689.32784272049</v>
      </c>
      <c r="L39" s="50">
        <v>1105617.1333059149</v>
      </c>
      <c r="M39" s="50">
        <v>-119999.99999999994</v>
      </c>
      <c r="N39" s="50">
        <v>-73749.999999999956</v>
      </c>
      <c r="O39" s="50">
        <v>911867.13330591505</v>
      </c>
      <c r="P39" s="50">
        <v>-962500</v>
      </c>
      <c r="Q39" s="50">
        <v>-50632.866694084958</v>
      </c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</row>
    <row r="40" spans="1:66" ht="14.65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</row>
    <row r="41" spans="1:66" ht="14.65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</row>
    <row r="42" spans="1:66" ht="14.65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</row>
    <row r="43" spans="1:66" ht="14.65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</row>
    <row r="44" spans="1:66" ht="14.6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</row>
    <row r="45" spans="1:66" ht="14.65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</row>
    <row r="46" spans="1:66" ht="14.6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</row>
    <row r="47" spans="1:66" ht="14.65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</row>
    <row r="48" spans="1:66" ht="14.65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</row>
    <row r="49" spans="1:17" ht="14.6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</row>
    <row r="50" spans="1:17" ht="14.6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17" ht="14.6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</row>
    <row r="52" spans="1:17" ht="14.6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17" ht="14.6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17" ht="14.6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17" ht="14.6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</row>
    <row r="56" spans="1:17" ht="14.6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</row>
    <row r="57" spans="1:17" ht="14.65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</row>
    <row r="58" spans="1:17" ht="14.6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</row>
    <row r="59" spans="1:17" ht="14.6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</row>
    <row r="60" spans="1:17" ht="14.6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</row>
    <row r="61" spans="1:17" ht="14.6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</row>
    <row r="62" spans="1:17" ht="14.6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</row>
    <row r="63" spans="1:17" ht="14.6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C19" sqref="C19"/>
    </sheetView>
  </sheetViews>
  <sheetFormatPr defaultRowHeight="14.25"/>
  <cols>
    <col min="1" max="2" width="13" style="11" bestFit="1" customWidth="1"/>
    <col min="3" max="16384" width="9.06640625" style="11"/>
  </cols>
  <sheetData>
    <row r="1" spans="1:2">
      <c r="A1" s="10" t="s">
        <v>22</v>
      </c>
      <c r="B1" s="10" t="s">
        <v>23</v>
      </c>
    </row>
    <row r="2" spans="1:2">
      <c r="A2" s="11">
        <v>1</v>
      </c>
      <c r="B2" s="12">
        <f>EDATE(Inputs!$B$3,ROW()-2)</f>
        <v>45658</v>
      </c>
    </row>
    <row r="3" spans="1:2">
      <c r="A3" s="11">
        <v>2</v>
      </c>
      <c r="B3" s="12">
        <f>EDATE(Inputs!$B$3,ROW()-2)</f>
        <v>45689</v>
      </c>
    </row>
    <row r="4" spans="1:2">
      <c r="A4" s="11">
        <v>3</v>
      </c>
      <c r="B4" s="12">
        <f>EDATE(Inputs!$B$3,ROW()-2)</f>
        <v>45717</v>
      </c>
    </row>
    <row r="5" spans="1:2">
      <c r="A5" s="11">
        <v>4</v>
      </c>
      <c r="B5" s="12">
        <f>EDATE(Inputs!$B$3,ROW()-2)</f>
        <v>45748</v>
      </c>
    </row>
    <row r="6" spans="1:2">
      <c r="A6" s="11">
        <v>5</v>
      </c>
      <c r="B6" s="12">
        <f>EDATE(Inputs!$B$3,ROW()-2)</f>
        <v>45778</v>
      </c>
    </row>
    <row r="7" spans="1:2">
      <c r="A7" s="11">
        <v>6</v>
      </c>
      <c r="B7" s="12">
        <f>EDATE(Inputs!$B$3,ROW()-2)</f>
        <v>45809</v>
      </c>
    </row>
    <row r="8" spans="1:2">
      <c r="A8" s="11">
        <v>7</v>
      </c>
      <c r="B8" s="12">
        <f>EDATE(Inputs!$B$3,ROW()-2)</f>
        <v>45839</v>
      </c>
    </row>
    <row r="9" spans="1:2">
      <c r="A9" s="11">
        <v>8</v>
      </c>
      <c r="B9" s="12">
        <f>EDATE(Inputs!$B$3,ROW()-2)</f>
        <v>45870</v>
      </c>
    </row>
    <row r="10" spans="1:2">
      <c r="A10" s="11">
        <v>9</v>
      </c>
      <c r="B10" s="12">
        <f>EDATE(Inputs!$B$3,ROW()-2)</f>
        <v>45901</v>
      </c>
    </row>
    <row r="11" spans="1:2">
      <c r="A11" s="11">
        <v>10</v>
      </c>
      <c r="B11" s="12">
        <f>EDATE(Inputs!$B$3,ROW()-2)</f>
        <v>45931</v>
      </c>
    </row>
    <row r="12" spans="1:2">
      <c r="A12" s="11">
        <v>11</v>
      </c>
      <c r="B12" s="12">
        <f>EDATE(Inputs!$B$3,ROW()-2)</f>
        <v>45962</v>
      </c>
    </row>
    <row r="13" spans="1:2">
      <c r="A13" s="11">
        <v>12</v>
      </c>
      <c r="B13" s="12">
        <f>EDATE(Inputs!$B$3,ROW()-2)</f>
        <v>45992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7CE8-88C5-4938-AAA6-87B9BBE0AD8E}">
  <dimension ref="A1:E10"/>
  <sheetViews>
    <sheetView zoomScale="85" zoomScaleNormal="85" workbookViewId="0">
      <selection activeCell="E30" sqref="E30"/>
    </sheetView>
  </sheetViews>
  <sheetFormatPr defaultRowHeight="14.25"/>
  <cols>
    <col min="1" max="1" width="9.06640625" style="1"/>
    <col min="2" max="2" width="10.3984375" style="1" bestFit="1" customWidth="1"/>
    <col min="3" max="3" width="9.3984375" style="1" bestFit="1" customWidth="1"/>
    <col min="4" max="4" width="9.06640625" style="1"/>
    <col min="5" max="5" width="12.86328125" style="1" bestFit="1" customWidth="1"/>
    <col min="6" max="16384" width="9.06640625" style="1"/>
  </cols>
  <sheetData>
    <row r="1" spans="1:5">
      <c r="A1" s="13" t="s">
        <v>94</v>
      </c>
    </row>
    <row r="2" spans="1:5">
      <c r="A2" s="24"/>
    </row>
    <row r="3" spans="1:5">
      <c r="A3" s="24"/>
      <c r="B3" s="1">
        <v>0</v>
      </c>
      <c r="C3" s="1">
        <v>0</v>
      </c>
    </row>
    <row r="4" spans="1:5">
      <c r="A4" s="3" t="s">
        <v>90</v>
      </c>
      <c r="B4" s="3" t="s">
        <v>91</v>
      </c>
      <c r="C4" s="3" t="s">
        <v>92</v>
      </c>
      <c r="D4" s="3" t="s">
        <v>95</v>
      </c>
      <c r="E4" s="3" t="s">
        <v>93</v>
      </c>
    </row>
    <row r="5" spans="1:5">
      <c r="A5" s="25">
        <v>0</v>
      </c>
      <c r="B5" s="18">
        <v>314751.94175269722</v>
      </c>
      <c r="C5" s="18">
        <v>2251.9417526972029</v>
      </c>
      <c r="D5" s="18">
        <f t="shared" ref="D5:D10" si="0">B5-INDEX(B$4:B$10, MATCH(0.03, A$4:A$10, 0))</f>
        <v>-6668.1919077040511</v>
      </c>
      <c r="E5" s="27">
        <f t="shared" ref="E5:E10" si="1">B5/INDEX(B$4:B$10, MATCH(0.03, A$4:A$10, 0))-1</f>
        <v>-2.0746030535689353E-2</v>
      </c>
    </row>
    <row r="6" spans="1:5">
      <c r="A6" s="25">
        <v>0.02</v>
      </c>
      <c r="B6" s="18">
        <v>319205.09041579522</v>
      </c>
      <c r="C6" s="18">
        <v>6705.0904157951954</v>
      </c>
      <c r="D6" s="18">
        <f t="shared" si="0"/>
        <v>-2215.0432446060586</v>
      </c>
      <c r="E6" s="27">
        <f t="shared" si="1"/>
        <v>-6.8914265555821697E-3</v>
      </c>
    </row>
    <row r="7" spans="1:5">
      <c r="A7" s="26">
        <v>0.03</v>
      </c>
      <c r="B7" s="18">
        <v>321420.13366040128</v>
      </c>
      <c r="C7" s="18">
        <v>8920.133660401305</v>
      </c>
      <c r="D7" s="18">
        <f t="shared" si="0"/>
        <v>0</v>
      </c>
      <c r="E7" s="27">
        <f t="shared" si="1"/>
        <v>0</v>
      </c>
    </row>
    <row r="8" spans="1:5">
      <c r="A8" s="25">
        <v>0.04</v>
      </c>
      <c r="B8" s="18">
        <v>323627.63687296788</v>
      </c>
      <c r="C8" s="18">
        <v>11127.63687296792</v>
      </c>
      <c r="D8" s="18">
        <f t="shared" si="0"/>
        <v>2207.5032125666039</v>
      </c>
      <c r="E8" s="27">
        <f t="shared" si="1"/>
        <v>6.8679680623211503E-3</v>
      </c>
    </row>
    <row r="9" spans="1:5">
      <c r="A9" s="25">
        <v>0.05</v>
      </c>
      <c r="B9" s="18">
        <v>325827.70724250958</v>
      </c>
      <c r="C9" s="18">
        <v>13327.70724250961</v>
      </c>
      <c r="D9" s="18">
        <f t="shared" si="0"/>
        <v>4407.5735821083072</v>
      </c>
      <c r="E9" s="27">
        <f t="shared" si="1"/>
        <v>1.3712811117069457E-2</v>
      </c>
    </row>
    <row r="10" spans="1:5">
      <c r="A10" s="25">
        <v>0.06</v>
      </c>
      <c r="B10" s="18">
        <v>328020.44940091</v>
      </c>
      <c r="C10" s="18">
        <v>15520.44940091</v>
      </c>
      <c r="D10" s="18">
        <f t="shared" si="0"/>
        <v>6600.3157405087259</v>
      </c>
      <c r="E10" s="27">
        <f t="shared" si="1"/>
        <v>2.053485469420635E-2</v>
      </c>
    </row>
  </sheetData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activeCell="D21" sqref="D21"/>
    </sheetView>
  </sheetViews>
  <sheetFormatPr defaultRowHeight="14.25"/>
  <cols>
    <col min="1" max="1" width="17.53125" style="1" bestFit="1" customWidth="1"/>
    <col min="2" max="2" width="55.53125" style="1" customWidth="1"/>
    <col min="3" max="16384" width="9.06640625" style="1"/>
  </cols>
  <sheetData>
    <row r="1" spans="1:3" ht="14.65">
      <c r="A1" s="3" t="s">
        <v>45</v>
      </c>
      <c r="B1" s="3" t="s">
        <v>46</v>
      </c>
    </row>
    <row r="2" spans="1:3">
      <c r="A2" s="1" t="s">
        <v>24</v>
      </c>
      <c r="B2" s="4" t="s">
        <v>47</v>
      </c>
    </row>
    <row r="3" spans="1:3">
      <c r="A3" s="1" t="s">
        <v>25</v>
      </c>
      <c r="B3" s="4" t="s">
        <v>48</v>
      </c>
    </row>
    <row r="4" spans="1:3">
      <c r="A4" s="1" t="s">
        <v>26</v>
      </c>
      <c r="B4" s="1" t="s">
        <v>49</v>
      </c>
    </row>
    <row r="5" spans="1:3">
      <c r="A5" s="1" t="s">
        <v>27</v>
      </c>
      <c r="B5" s="1" t="s">
        <v>39</v>
      </c>
    </row>
    <row r="6" spans="1:3">
      <c r="A6" s="1" t="s">
        <v>28</v>
      </c>
      <c r="B6" s="1" t="s">
        <v>50</v>
      </c>
    </row>
    <row r="7" spans="1:3">
      <c r="A7" s="1" t="s">
        <v>29</v>
      </c>
      <c r="B7" s="1" t="s">
        <v>40</v>
      </c>
    </row>
    <row r="8" spans="1:3">
      <c r="A8" s="1" t="s">
        <v>30</v>
      </c>
      <c r="B8" s="1" t="s">
        <v>51</v>
      </c>
    </row>
    <row r="9" spans="1:3">
      <c r="A9" s="1" t="s">
        <v>31</v>
      </c>
      <c r="B9" s="1" t="s">
        <v>41</v>
      </c>
    </row>
    <row r="10" spans="1:3">
      <c r="A10" s="1" t="s">
        <v>32</v>
      </c>
      <c r="B10" s="1" t="s">
        <v>42</v>
      </c>
    </row>
    <row r="11" spans="1:3">
      <c r="A11" s="1" t="s">
        <v>33</v>
      </c>
      <c r="B11" s="1" t="s">
        <v>73</v>
      </c>
      <c r="C11" s="1" t="s">
        <v>75</v>
      </c>
    </row>
    <row r="12" spans="1:3">
      <c r="A12" s="1" t="s">
        <v>34</v>
      </c>
      <c r="B12" s="1" t="s">
        <v>74</v>
      </c>
      <c r="C12" s="1" t="s">
        <v>76</v>
      </c>
    </row>
    <row r="13" spans="1:3">
      <c r="A13" s="1" t="s">
        <v>35</v>
      </c>
      <c r="B13" s="1" t="s">
        <v>43</v>
      </c>
    </row>
    <row r="14" spans="1:3">
      <c r="A14" s="1" t="s">
        <v>36</v>
      </c>
      <c r="B14" s="1" t="s">
        <v>77</v>
      </c>
    </row>
    <row r="15" spans="1:3">
      <c r="A15" s="1" t="s">
        <v>37</v>
      </c>
      <c r="B15" s="1" t="s">
        <v>44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5DFD625C-8BC9-444E-AF59-03429D6CB1C5}">
  <ds:schemaRefs/>
</ds:datastoreItem>
</file>

<file path=customXml/itemProps2.xml><?xml version="1.0" encoding="utf-8"?>
<ds:datastoreItem xmlns:ds="http://schemas.openxmlformats.org/officeDocument/2006/customXml" ds:itemID="{21995709-B339-4FA4-9961-08B200DC52F0}">
  <ds:schemaRefs/>
</ds:datastoreItem>
</file>

<file path=customXml/itemProps3.xml><?xml version="1.0" encoding="utf-8"?>
<ds:datastoreItem xmlns:ds="http://schemas.openxmlformats.org/officeDocument/2006/customXml" ds:itemID="{8F916A94-2E90-466C-8976-FE713C1DD7BE}">
  <ds:schemaRefs/>
</ds:datastoreItem>
</file>

<file path=customXml/itemProps4.xml><?xml version="1.0" encoding="utf-8"?>
<ds:datastoreItem xmlns:ds="http://schemas.openxmlformats.org/officeDocument/2006/customXml" ds:itemID="{DE8F653F-AF8A-4B11-9B88-96E7E27E445E}">
  <ds:schemaRefs/>
</ds:datastoreItem>
</file>

<file path=customXml/itemProps5.xml><?xml version="1.0" encoding="utf-8"?>
<ds:datastoreItem xmlns:ds="http://schemas.openxmlformats.org/officeDocument/2006/customXml" ds:itemID="{E3E540E4-5B23-4D6E-B186-04AAD8D63EAC}">
  <ds:schemaRefs/>
</ds:datastoreItem>
</file>

<file path=customXml/itemProps6.xml><?xml version="1.0" encoding="utf-8"?>
<ds:datastoreItem xmlns:ds="http://schemas.openxmlformats.org/officeDocument/2006/customXml" ds:itemID="{0C1632C0-67A0-46B7-80FE-97301234E79C}">
  <ds:schemaRefs/>
</ds:datastoreItem>
</file>

<file path=customXml/itemProps7.xml><?xml version="1.0" encoding="utf-8"?>
<ds:datastoreItem xmlns:ds="http://schemas.openxmlformats.org/officeDocument/2006/customXml" ds:itemID="{37931185-CC89-493A-9822-836E27CF1E63}">
  <ds:schemaRefs/>
</ds:datastoreItem>
</file>

<file path=customXml/itemProps8.xml><?xml version="1.0" encoding="utf-8"?>
<ds:datastoreItem xmlns:ds="http://schemas.openxmlformats.org/officeDocument/2006/customXml" ds:itemID="{8DCAA2F4-5CC7-40DF-B13B-EF2B12E03A83}">
  <ds:schemaRefs/>
</ds:datastoreItem>
</file>

<file path=customXml/itemProps9.xml><?xml version="1.0" encoding="utf-8"?>
<ds:datastoreItem xmlns:ds="http://schemas.openxmlformats.org/officeDocument/2006/customXml" ds:itemID="{E23C71F3-9414-446B-8D29-E568A7BE912D}">
  <ds:schemaRefs/>
</ds:datastoreItem>
</file>

<file path=customXml/itemProps10.xml><?xml version="1.0" encoding="utf-8"?>
<ds:datastoreItem xmlns:ds="http://schemas.openxmlformats.org/officeDocument/2006/customXml" ds:itemID="{7ED4774E-4C33-4C74-99BF-E5C777C95094}">
  <ds:schemaRefs/>
</ds:datastoreItem>
</file>

<file path=customXml/itemProps11.xml><?xml version="1.0" encoding="utf-8"?>
<ds:datastoreItem xmlns:ds="http://schemas.openxmlformats.org/officeDocument/2006/customXml" ds:itemID="{6988BA22-06EA-496E-BB65-C3A0B49C415D}">
  <ds:schemaRefs/>
</ds:datastoreItem>
</file>

<file path=customXml/itemProps12.xml><?xml version="1.0" encoding="utf-8"?>
<ds:datastoreItem xmlns:ds="http://schemas.openxmlformats.org/officeDocument/2006/customXml" ds:itemID="{F6FCE8D4-E924-4D13-9909-4D67FF645921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91BA01F1-1E64-4AEE-8F42-B21EE560F06A}">
  <ds:schemaRefs/>
</ds:datastoreItem>
</file>

<file path=customXml/itemProps14.xml><?xml version="1.0" encoding="utf-8"?>
<ds:datastoreItem xmlns:ds="http://schemas.openxmlformats.org/officeDocument/2006/customXml" ds:itemID="{404321ED-9D7D-40F3-9E50-5F4BF3E512D0}">
  <ds:schemaRefs/>
</ds:datastoreItem>
</file>

<file path=customXml/itemProps15.xml><?xml version="1.0" encoding="utf-8"?>
<ds:datastoreItem xmlns:ds="http://schemas.openxmlformats.org/officeDocument/2006/customXml" ds:itemID="{D29DE428-C0C3-4AAB-83BF-5FB77478A554}">
  <ds:schemaRefs/>
</ds:datastoreItem>
</file>

<file path=customXml/itemProps16.xml><?xml version="1.0" encoding="utf-8"?>
<ds:datastoreItem xmlns:ds="http://schemas.openxmlformats.org/officeDocument/2006/customXml" ds:itemID="{694106F7-0F8D-4825-BFF9-B3860838BD57}">
  <ds:schemaRefs/>
</ds:datastoreItem>
</file>

<file path=customXml/itemProps17.xml><?xml version="1.0" encoding="utf-8"?>
<ds:datastoreItem xmlns:ds="http://schemas.openxmlformats.org/officeDocument/2006/customXml" ds:itemID="{EEDBBCFE-53AE-41AD-B603-7EE9B15B8BE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CF_Base</vt:lpstr>
      <vt:lpstr>CF_Upside</vt:lpstr>
      <vt:lpstr>CF_Downside</vt:lpstr>
      <vt:lpstr>All CF</vt:lpstr>
      <vt:lpstr>Inputs</vt:lpstr>
      <vt:lpstr>CF_Scenario</vt:lpstr>
      <vt:lpstr>Timeline</vt:lpstr>
      <vt:lpstr>Sens_RG</vt:lpstr>
      <vt:lpstr>Calc_Notes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Eilin 10</cp:lastModifiedBy>
  <dcterms:created xsi:type="dcterms:W3CDTF">2025-10-31T01:32:08Z</dcterms:created>
  <dcterms:modified xsi:type="dcterms:W3CDTF">2025-11-03T11:51:05Z</dcterms:modified>
</cp:coreProperties>
</file>